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0"/>
      <u val="single"/>
    </font>
    <font>
      <name val="Arial"/>
      <color theme="1"/>
    </font>
    <font>
      <name val="Lexend"/>
      <color theme="1"/>
      <sz val="11"/>
    </font>
    <font>
      <name val="Lexend"/>
      <color theme="1"/>
    </font>
    <font>
      <name val="Lexend"/>
      <color rgb="FF434343"/>
      <sz val="12"/>
      <u val="single"/>
    </font>
    <font>
      <name val="Lexend"/>
      <color rgb="FF434343"/>
      <sz val="12"/>
      <u val="single"/>
    </font>
    <font>
      <name val="Lexend"/>
      <color rgb="FF1155CC"/>
      <sz val="12"/>
      <u val="single"/>
    </font>
    <font>
      <name val="Lexend"/>
      <color rgb="FF1155CC"/>
      <sz val="12"/>
      <u val="single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6">
    <border/>
    <border>
      <left style="thin">
        <color rgb="FF0C343D"/>
      </left>
      <right style="thin">
        <color rgb="FF0C343D"/>
      </right>
      <top style="thin">
        <color rgb="FF0C343D"/>
      </top>
      <bottom style="thin">
        <color rgb="FF0C343D"/>
      </bottom>
    </border>
    <border>
      <left style="thin">
        <color rgb="FF0C343D"/>
      </left>
      <right style="thin">
        <color rgb="FFFFFFFF"/>
      </right>
      <top style="thin">
        <color rgb="FF0C343D"/>
      </top>
      <bottom style="thin">
        <color rgb="FF0C343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C343D"/>
      </left>
      <right style="thin">
        <color rgb="FFFFE599"/>
      </right>
      <top style="thin">
        <color rgb="FF0C343D"/>
      </top>
      <bottom style="thin">
        <color rgb="FF0C343D"/>
      </bottom>
    </border>
    <border>
      <left style="thin">
        <color rgb="FFFFE599"/>
      </left>
      <right style="thin">
        <color rgb="FFFFE599"/>
      </right>
      <top style="thin">
        <color rgb="FFFFE599"/>
      </top>
      <bottom style="thin">
        <color rgb="FFFFE599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right" wrapText="1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2" fillId="2" borderId="3" applyAlignment="1" pivotButton="0" quotePrefix="0" xfId="0">
      <alignment vertical="center"/>
    </xf>
    <xf numFmtId="0" fontId="5" fillId="2" borderId="3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3" borderId="4" applyAlignment="1" pivotButton="0" quotePrefix="0" xfId="0">
      <alignment vertical="center" wrapText="1"/>
    </xf>
    <xf numFmtId="0" fontId="2" fillId="3" borderId="3" applyAlignment="1" pivotButton="0" quotePrefix="0" xfId="0">
      <alignment vertical="center"/>
    </xf>
    <xf numFmtId="0" fontId="6" fillId="3" borderId="3" applyAlignment="1" pivotButton="0" quotePrefix="0" xfId="0">
      <alignment horizontal="center" vertical="center" wrapText="1"/>
    </xf>
    <xf numFmtId="0" fontId="2" fillId="3" borderId="5" applyAlignment="1" pivotButton="0" quotePrefix="0" xfId="0">
      <alignment vertical="center"/>
    </xf>
    <xf numFmtId="0" fontId="7" fillId="2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7F6000"/>
          <bgColor rgb="FF7F6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border>
        <left style="thin">
          <color rgb="FF7F6000"/>
        </left>
        <right style="thin">
          <color rgb="FF7F6000"/>
        </right>
        <top style="thin">
          <color rgb="FF7F6000"/>
        </top>
        <bottom style="thin">
          <color rgb="FF7F6000"/>
        </bottom>
      </border>
    </dxf>
  </dxfs>
  <tableStyles count="1" defaultTableStyle="TableStyleMedium9" defaultPivotStyle="PivotStyleLight16">
    <tableStyle name="Sheet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2:G108" headerRowCount="1">
  <tableColumns count="7">
    <tableColumn id="1" name="Sl. No."/>
    <tableColumn id="2" name="What sits"/>
    <tableColumn id="3" name="on What"/>
    <tableColumn id="4" name="The Requirement / Answer"/>
    <tableColumn id="5" name="Book / Reference"/>
    <tableColumn id="6" name="Reference Photo"/>
    <tableColumn id="7" name="Reference Photo Link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yxFO2kClc_DH4fcgcoPq0Jz6TFQlmTk8/view?usp=drive_link" TargetMode="External" Id="rId1"/><Relationship Type="http://schemas.openxmlformats.org/officeDocument/2006/relationships/hyperlink" Target="https://drive.google.com/file/d/1c5D5kg-CHXnDY9lGTOgT5bE_Bgtr213y/view?usp=sharing" TargetMode="External" Id="rId2"/><Relationship Type="http://schemas.openxmlformats.org/officeDocument/2006/relationships/hyperlink" Target="https://drive.google.com/file/d/1WE1QQajGJ0MP9sKQvWED2SkBeIXcwJEk/view?usp=sharing" TargetMode="External" Id="rId3"/><Relationship Type="http://schemas.openxmlformats.org/officeDocument/2006/relationships/hyperlink" Target="https://drive.google.com/file/d/18V4VWl6JrHDC2ndsIoRFs554voSA4j4l/view?usp=sharing" TargetMode="External" Id="rId4"/><Relationship Type="http://schemas.openxmlformats.org/officeDocument/2006/relationships/hyperlink" Target="https://drive.google.com/file/d/1NtJm74_ZdyJ1owfrjesC7lp4OmW6NROY/view?usp=sharing" TargetMode="External" Id="rId5"/><Relationship Type="http://schemas.openxmlformats.org/officeDocument/2006/relationships/hyperlink" Target="https://drive.google.com/file/d/1OkWCvji5fgtq6dkE_jsEF0oX58KkFqUs/view?usp=sharing" TargetMode="External" Id="rId6"/><Relationship Type="http://schemas.openxmlformats.org/officeDocument/2006/relationships/hyperlink" Target="https://drive.google.com/file/d/1OH7jOcTb-bE021lfYe_uBj1y5JpUnI7N/view?usp=sharing" TargetMode="External" Id="rId7"/><Relationship Type="http://schemas.openxmlformats.org/officeDocument/2006/relationships/hyperlink" Target="https://drive.google.com/file/d/15pVbSAL9S8TZqStok7zSaNXlEvErnGDF/view?usp=sharing" TargetMode="External" Id="rId8"/><Relationship Type="http://schemas.openxmlformats.org/officeDocument/2006/relationships/hyperlink" Target="https://drive.google.com/file/d/1zbbmHgK27_pyK3Xgk9idwYbL8Dh8gUhZ/view?usp=sharing" TargetMode="External" Id="rId9"/><Relationship Type="http://schemas.openxmlformats.org/officeDocument/2006/relationships/hyperlink" Target="https://drive.google.com/file/d/1czxaF12aSldmqYM81-r1Sb7FIkUqKv0y/view?usp=sharing" TargetMode="External" Id="rId10"/><Relationship Type="http://schemas.openxmlformats.org/officeDocument/2006/relationships/hyperlink" Target="https://drive.google.com/file/d/1UGIXCLcdSHSE4IgtZ19XnEbvNU3z-tGG/view?usp=sharing" TargetMode="External" Id="rId11"/><Relationship Type="http://schemas.openxmlformats.org/officeDocument/2006/relationships/hyperlink" Target="https://drive.google.com/file/d/1AMnZh93WUdS_u0NFEkHIA4HFMTFEn0mB/view?usp=sharing" TargetMode="External" Id="rId12"/><Relationship Type="http://schemas.openxmlformats.org/officeDocument/2006/relationships/hyperlink" Target="https://drive.google.com/file/d/1s-Hwqc7aifQ6vb2NAzChWpUKA_jkZcRa/view?usp=sharing" TargetMode="External" Id="rId13"/><Relationship Type="http://schemas.openxmlformats.org/officeDocument/2006/relationships/hyperlink" Target="https://drive.google.com/file/d/1qUB_DVRPbW4siyEc008MX55v0VuGvSFE/view?usp=sharing" TargetMode="External" Id="rId14"/><Relationship Type="http://schemas.openxmlformats.org/officeDocument/2006/relationships/hyperlink" Target="https://drive.google.com/file/d/1kHUwfmnU8gpFflEpqfva8xcYbOdMkG26/view?usp=sharing" TargetMode="External" Id="rId15"/><Relationship Type="http://schemas.openxmlformats.org/officeDocument/2006/relationships/hyperlink" Target="https://drive.google.com/file/d/1xU-k7gUAyXlhj7mcI50sDgXA5MTsPnU5/view?usp=sharing" TargetMode="External" Id="rId16"/><Relationship Type="http://schemas.openxmlformats.org/officeDocument/2006/relationships/hyperlink" Target="https://drive.google.com/file/d/1XpSsVUqFPF4twt9v-sHViHoe9-P8KqHI/view?usp=sharing" TargetMode="External" Id="rId17"/><Relationship Type="http://schemas.openxmlformats.org/officeDocument/2006/relationships/hyperlink" Target="https://drive.google.com/file/d/1FuvQzKxFDJBVEZDK8ipDe-XzlHKMqlv8/view?usp=sharing" TargetMode="External" Id="rId18"/><Relationship Type="http://schemas.openxmlformats.org/officeDocument/2006/relationships/hyperlink" Target="https://drive.google.com/file/d/1o7l3_og7_mb1qVa7HoERfwVqNnifkgtI/view?usp=sharing" TargetMode="External" Id="rId19"/><Relationship Type="http://schemas.openxmlformats.org/officeDocument/2006/relationships/hyperlink" Target="https://drive.google.com/file/d/1stzt-pFNRLJlETlmD51rX6GzZ3oNpVyR/view?usp=sharing" TargetMode="External" Id="rId20"/><Relationship Type="http://schemas.openxmlformats.org/officeDocument/2006/relationships/hyperlink" Target="https://drive.google.com/file/d/1pnqwnTlo__Sz4f0Mpdqo20k4C-CvhipM/view?usp=sharing" TargetMode="External" Id="rId21"/><Relationship Type="http://schemas.openxmlformats.org/officeDocument/2006/relationships/hyperlink" Target="https://drive.google.com/file/d/1f15BA9wBemjjfzsZYmP1b2h0QKCP9sbG/view?usp=sharing" TargetMode="External" Id="rId22"/><Relationship Type="http://schemas.openxmlformats.org/officeDocument/2006/relationships/hyperlink" Target="https://drive.google.com/file/d/1beoVjsbzbHwji2BTEmVmu3vBC31-DVFU/view?usp=sharing" TargetMode="External" Id="rId23"/><Relationship Type="http://schemas.openxmlformats.org/officeDocument/2006/relationships/hyperlink" Target="https://drive.google.com/file/d/1Gv0t0DIxlgOaAq45r7mxr7QOSInBWsm0/view?usp=sharing" TargetMode="External" Id="rId24"/><Relationship Type="http://schemas.openxmlformats.org/officeDocument/2006/relationships/hyperlink" Target="https://drive.google.com/file/d/1nX8GZTO3C0RF8R9kHfUlAvEKCLVnOmK8/view?usp=sharing" TargetMode="External" Id="rId25"/><Relationship Type="http://schemas.openxmlformats.org/officeDocument/2006/relationships/hyperlink" Target="https://drive.google.com/file/d/1IyRhZ0qmZiZsdpngMSESZkuRoWxkMHA8/view?usp=sharing" TargetMode="External" Id="rId26"/><Relationship Type="http://schemas.openxmlformats.org/officeDocument/2006/relationships/hyperlink" Target="https://drive.google.com/file/d/1nKQFC_IWUitKTCysHUFMeYIdWKabLxzQ/view?usp=sharing" TargetMode="External" Id="rId27"/><Relationship Type="http://schemas.openxmlformats.org/officeDocument/2006/relationships/hyperlink" Target="https://drive.google.com/file/d/1v4rVYvSm2vFN-vH_Zl_DhbFRO6NNtzj6/view?usp=sharing" TargetMode="External" Id="rId28"/><Relationship Type="http://schemas.openxmlformats.org/officeDocument/2006/relationships/hyperlink" Target="https://drive.google.com/file/d/12ZZZsPA8Ym1JToEw-7RseJ8xjCd1jSys/view?usp=sharing" TargetMode="External" Id="rId29"/><Relationship Type="http://schemas.openxmlformats.org/officeDocument/2006/relationships/hyperlink" Target="https://drive.google.com/file/d/19J-XrqyzS0tXEaffCYFvt0EOccyBL8Wo/view?usp=sharing" TargetMode="External" Id="rId30"/><Relationship Type="http://schemas.openxmlformats.org/officeDocument/2006/relationships/hyperlink" Target="https://drive.google.com/file/d/1w95x3yXWLEESUweNG0mPfMMxHUQ4yuwz/view?usp=sharing" TargetMode="External" Id="rId31"/><Relationship Type="http://schemas.openxmlformats.org/officeDocument/2006/relationships/hyperlink" Target="https://drive.google.com/file/d/1zhWEmNIKjEDjKltVp6kb6rg4zcNeMVBU/view?usp=sharing" TargetMode="External" Id="rId32"/><Relationship Type="http://schemas.openxmlformats.org/officeDocument/2006/relationships/hyperlink" Target="https://drive.google.com/file/d/1cvKjYsf1erWOPyUcvs_eYm6NARaB-HR9/view?usp=sharing" TargetMode="External" Id="rId33"/><Relationship Type="http://schemas.openxmlformats.org/officeDocument/2006/relationships/hyperlink" Target="https://drive.google.com/file/d/16ekA2CLG0DX9Vm_G1o3gdAsAZtSLo1EI/view?usp=sharing" TargetMode="External" Id="rId34"/><Relationship Type="http://schemas.openxmlformats.org/officeDocument/2006/relationships/hyperlink" Target="https://drive.google.com/file/d/12FK4BlEFru7Uh7Zya6xLv3D75YkiTfcH/view?usp=sharing" TargetMode="External" Id="rId35"/><Relationship Type="http://schemas.openxmlformats.org/officeDocument/2006/relationships/hyperlink" Target="https://drive.google.com/file/d/1v2NBMXIySSDmdnMDfThmhhVkuh8_5sA3/view?usp=sharing" TargetMode="External" Id="rId36"/><Relationship Type="http://schemas.openxmlformats.org/officeDocument/2006/relationships/hyperlink" Target="https://drive.google.com/file/d/1-vcBff8klGY6W2eFLiihFOTG8GoT_GQw/view?usp=sharing" TargetMode="External" Id="rId37"/><Relationship Type="http://schemas.openxmlformats.org/officeDocument/2006/relationships/hyperlink" Target="https://drive.google.com/file/d/1LH-ETRjDgGtVCIqeOE0Ci72qFT_Vd7lo/view?usp=sharing" TargetMode="External" Id="rId38"/><Relationship Type="http://schemas.openxmlformats.org/officeDocument/2006/relationships/hyperlink" Target="https://drive.google.com/file/d/1ka_Bnx4UVnx1ZGhLj8c6rUh_n8d3ln9-/view?usp=sharing" TargetMode="External" Id="rId39"/><Relationship Type="http://schemas.openxmlformats.org/officeDocument/2006/relationships/hyperlink" Target="https://drive.google.com/file/d/1bEzTZVOIb505kmv2NrmMBIhoWdNPgd1C/view?usp=sharing" TargetMode="External" Id="rId40"/><Relationship Type="http://schemas.openxmlformats.org/officeDocument/2006/relationships/hyperlink" Target="https://drive.google.com/file/d/1CQfdTwslYbeFpPAzecjGoCnV_eo2hQBk/view?usp=sharing" TargetMode="External" Id="rId41"/><Relationship Type="http://schemas.openxmlformats.org/officeDocument/2006/relationships/hyperlink" Target="https://drive.google.com/file/d/1Lq3V5Rzr5ADIwD7zeXyhuN21RNW102ce/view?usp=sharing" TargetMode="External" Id="rId42"/><Relationship Type="http://schemas.openxmlformats.org/officeDocument/2006/relationships/hyperlink" Target="https://drive.google.com/file/d/1qeKYsEy3AJTSAoZKs6NqWy0DytnLG43H/view?usp=sharing" TargetMode="External" Id="rId43"/><Relationship Type="http://schemas.openxmlformats.org/officeDocument/2006/relationships/hyperlink" Target="https://drive.google.com/file/d/1G1FJNP9wpsyOsOIF9P8Rs6kNPeErdCyz/view?usp=sharing" TargetMode="External" Id="rId44"/><Relationship Type="http://schemas.openxmlformats.org/officeDocument/2006/relationships/hyperlink" Target="https://drive.google.com/file/d/1YBrLNhc0sdL1DZX5m5ye7Lwpdl6PrS4t/view?usp=sharing" TargetMode="External" Id="rId45"/><Relationship Type="http://schemas.openxmlformats.org/officeDocument/2006/relationships/hyperlink" Target="https://drive.google.com/file/d/1xpjnxecZzlXK4FDqThyt2n3K_vDB0aJh/view?usp=sharing" TargetMode="External" Id="rId46"/><Relationship Type="http://schemas.openxmlformats.org/officeDocument/2006/relationships/hyperlink" Target="https://drive.google.com/file/d/1bHuVo2m7gtnbbdJ6A4ESgi8phqiqrgoj/view?usp=sharing" TargetMode="External" Id="rId47"/><Relationship Type="http://schemas.openxmlformats.org/officeDocument/2006/relationships/hyperlink" Target="https://drive.google.com/file/d/1sL-kqFrOAIVG_ifReqPSKgeg-bv6XHiz/view?usp=sharing" TargetMode="External" Id="rId48"/><Relationship Type="http://schemas.openxmlformats.org/officeDocument/2006/relationships/hyperlink" Target="https://drive.google.com/file/d/1XUJGbZEsKazJrWG9degzFitWXDVQ52-8/view?usp=sharing" TargetMode="External" Id="rId49"/><Relationship Type="http://schemas.openxmlformats.org/officeDocument/2006/relationships/hyperlink" Target="https://drive.google.com/file/d/1OpMmQ69RCFs4AAAvgNjt2poVYmBWAhzJ/view?usp=sharing" TargetMode="External" Id="rId50"/><Relationship Type="http://schemas.openxmlformats.org/officeDocument/2006/relationships/hyperlink" Target="https://drive.google.com/file/d/1WScuMr04lnMCKGpyNGVEhlQH14ALoBYU/view?usp=sharing" TargetMode="External" Id="rId51"/><Relationship Type="http://schemas.openxmlformats.org/officeDocument/2006/relationships/hyperlink" Target="https://drive.google.com/file/d/1-vlYsWc99Hnq5uVssvDMY_xy1zsdBNnb/view?usp=sharing" TargetMode="External" Id="rId52"/><Relationship Type="http://schemas.openxmlformats.org/officeDocument/2006/relationships/hyperlink" Target="https://drive.google.com/file/d/1LY4X_JL55jZjyOoGX87LVqv0E2hqJWhH/view?usp=sharing" TargetMode="External" Id="rId53"/><Relationship Type="http://schemas.openxmlformats.org/officeDocument/2006/relationships/hyperlink" Target="https://drive.google.com/file/d/1gelQo5KyRpgI6UK3nJTeFlGP5stqY-9I/view?usp=sharing" TargetMode="External" Id="rId54"/><Relationship Type="http://schemas.openxmlformats.org/officeDocument/2006/relationships/hyperlink" Target="https://drive.google.com/file/d/1AsBB83-PcZr2goxKAIMteD6-d1n01Tzc/view?usp=sharing" TargetMode="External" Id="rId55"/><Relationship Type="http://schemas.openxmlformats.org/officeDocument/2006/relationships/hyperlink" Target="https://drive.google.com/file/d/16KVEco9_e9KrJikRzNw5oSrn2diGMgUS/view?usp=sharing" TargetMode="External" Id="rId56"/><Relationship Type="http://schemas.openxmlformats.org/officeDocument/2006/relationships/hyperlink" Target="https://drive.google.com/file/d/1OpMmQ69RCFs4AAAvgNjt2poVYmBWAhzJ/view?usp=sharing" TargetMode="External" Id="rId57"/><Relationship Type="http://schemas.openxmlformats.org/officeDocument/2006/relationships/hyperlink" Target="https://drive.google.com/file/d/1cKpAvSadBWNXu-Ut75PQO6573wJJAFEj/view?usp=sharing" TargetMode="External" Id="rId58"/><Relationship Type="http://schemas.openxmlformats.org/officeDocument/2006/relationships/hyperlink" Target="https://drive.google.com/file/d/1WbgNu3LLUkreLOS1PPqQ5jvSAuRWsBt8/view?usp=sharing" TargetMode="External" Id="rId59"/><Relationship Type="http://schemas.openxmlformats.org/officeDocument/2006/relationships/hyperlink" Target="https://drive.google.com/file/d/19Y7mshJ-CF8ApyMDE3amUuraVGpBFeeM/view?usp=sharing" TargetMode="External" Id="rId60"/><Relationship Type="http://schemas.openxmlformats.org/officeDocument/2006/relationships/hyperlink" Target="https://drive.google.com/file/d/1lnUf1C_iDvhdn9MQnMMQB0KESloaHRqL/view?usp=sharing" TargetMode="External" Id="rId61"/><Relationship Type="http://schemas.openxmlformats.org/officeDocument/2006/relationships/hyperlink" Target="https://drive.google.com/file/d/1cyjVpmi4nWPu7K3qlROtu1tKf_Ao5Kgu/view?usp=sharing" TargetMode="External" Id="rId62"/><Relationship Type="http://schemas.openxmlformats.org/officeDocument/2006/relationships/hyperlink" Target="https://drive.google.com/file/d/1Os3RX4djN6rLNm3VA67CUT4W64mzZo2I/view?usp=sharing" TargetMode="External" Id="rId63"/><Relationship Type="http://schemas.openxmlformats.org/officeDocument/2006/relationships/hyperlink" Target="https://drive.google.com/file/d/1NN6GccLUE9j_V1Gv58MWGznMyeCOhO7m/view?usp=sharing" TargetMode="External" Id="rId64"/><Relationship Type="http://schemas.openxmlformats.org/officeDocument/2006/relationships/hyperlink" Target="https://drive.google.com/file/d/1bfu1HTeNJjcq3Jbi7wNMf0DqlZF7Eiq8/view?usp=sharing" TargetMode="External" Id="rId65"/><Relationship Type="http://schemas.openxmlformats.org/officeDocument/2006/relationships/hyperlink" Target="https://drive.google.com/file/d/1rWPXsXerdM4B5pWDXhNkPevaOQP_8JWA/view?usp=sharing" TargetMode="External" Id="rId66"/><Relationship Type="http://schemas.openxmlformats.org/officeDocument/2006/relationships/hyperlink" Target="https://drive.google.com/file/d/1hPVyNY9wbKuWPtGGXdiJzK4gjCt6fEZe/view?usp=sharing" TargetMode="External" Id="rId67"/><Relationship Type="http://schemas.openxmlformats.org/officeDocument/2006/relationships/hyperlink" Target="https://drive.google.com/file/d/13b8YXAr3rdA9Oa-PlJuAIHJT1SimsZuW/view?usp=sharing" TargetMode="External" Id="rId68"/><Relationship Type="http://schemas.openxmlformats.org/officeDocument/2006/relationships/hyperlink" Target="https://drive.google.com/file/d/1Zn3_diBn4FMFSKNEMuLdWyS_C6A2bK1Q/view?usp=sharing" TargetMode="External" Id="rId69"/><Relationship Type="http://schemas.openxmlformats.org/officeDocument/2006/relationships/hyperlink" Target="https://drive.google.com/file/d/1ntPpF9-uKvfo2p8MoeXSqL0ALU5skQ7x/view?usp=sharing" TargetMode="External" Id="rId70"/><Relationship Type="http://schemas.openxmlformats.org/officeDocument/2006/relationships/hyperlink" Target="https://drive.google.com/file/d/1R-DXlBe8VdCAQNZaPGdMAf7Wq0557PvA/view?usp=sharing" TargetMode="External" Id="rId71"/><Relationship Type="http://schemas.openxmlformats.org/officeDocument/2006/relationships/hyperlink" Target="https://drive.google.com/file/d/1kNU0icrVrUP4u3j82eoOJqij-EK2kieP/view?usp=sharing" TargetMode="External" Id="rId72"/><Relationship Type="http://schemas.openxmlformats.org/officeDocument/2006/relationships/hyperlink" Target="https://drive.google.com/file/d/19u1fYNA07WdQrWnG4edArnqTYk5f5c9z/view?usp=sharing" TargetMode="External" Id="rId73"/><Relationship Type="http://schemas.openxmlformats.org/officeDocument/2006/relationships/hyperlink" Target="https://drive.google.com/file/d/1QyFjwvYGf3k0bk0SqauVQlogp-66yzPe/view?usp=sharing" TargetMode="External" Id="rId74"/><Relationship Type="http://schemas.openxmlformats.org/officeDocument/2006/relationships/hyperlink" Target="https://drive.google.com/file/d/1EcD9bL3DVM6wzaaxxCCl3aymIk-oFfTa/view?usp=sharing" TargetMode="External" Id="rId75"/><Relationship Type="http://schemas.openxmlformats.org/officeDocument/2006/relationships/hyperlink" Target="https://drive.google.com/file/d/11r9Cdi7LkCChqPofjXI_H-hsEiIUrNux/view?usp=sharing" TargetMode="External" Id="rId76"/><Relationship Type="http://schemas.openxmlformats.org/officeDocument/2006/relationships/table" Target="/xl/tables/table1.xml" Id="rId77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93"/>
  <sheetViews>
    <sheetView workbookViewId="0">
      <selection activeCell="A1" sqref="A1"/>
    </sheetView>
  </sheetViews>
  <sheetFormatPr baseColWidth="8" defaultColWidth="12.63" defaultRowHeight="15.75" customHeight="1"/>
  <cols>
    <col width="21.13" customWidth="1" style="18" min="1" max="1"/>
    <col width="34.75" customWidth="1" style="18" min="4" max="4"/>
    <col width="43.25" customWidth="1" style="18" min="5" max="5"/>
    <col width="16" customWidth="1" style="18" min="6" max="6"/>
    <col width="24.38" customWidth="1" style="18" min="7" max="7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22.5" customHeight="1" s="18">
      <c r="A2" s="3" t="inlineStr">
        <is>
          <t>Sl. No.</t>
        </is>
      </c>
      <c r="B2" s="4" t="inlineStr">
        <is>
          <t>What sits</t>
        </is>
      </c>
      <c r="C2" s="4" t="inlineStr">
        <is>
          <t>on What</t>
        </is>
      </c>
      <c r="D2" s="4" t="inlineStr">
        <is>
          <t>The Requirement / Answer</t>
        </is>
      </c>
      <c r="E2" s="4" t="inlineStr">
        <is>
          <t>Book / Reference</t>
        </is>
      </c>
      <c r="F2" s="4" t="inlineStr">
        <is>
          <t>Reference Photo</t>
        </is>
      </c>
      <c r="G2" s="4" t="inlineStr">
        <is>
          <t>Reference Photo Link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22.5" customHeight="1" s="18">
      <c r="A3" s="5" t="n">
        <v>1</v>
      </c>
      <c r="B3" s="6" t="inlineStr">
        <is>
          <t>Wood Joist</t>
        </is>
      </c>
      <c r="C3" s="6" t="inlineStr">
        <is>
          <t>Wood Girder / Beam</t>
        </is>
      </c>
      <c r="D3" s="6" t="inlineStr">
        <is>
          <t>1½ inches</t>
        </is>
      </c>
      <c r="E3" s="7" t="inlineStr">
        <is>
          <t>IRC, Chapter 5: Floors — Section: R502.6 — Bearing</t>
        </is>
      </c>
      <c r="F3" s="8" t="n"/>
      <c r="G3" s="9" t="inlineStr">
        <is>
          <t>LINK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22.5" customHeight="1" s="18">
      <c r="A4" s="10">
        <f>A3+1</f>
        <v/>
      </c>
      <c r="B4" s="11" t="inlineStr">
        <is>
          <t>Wood Joist</t>
        </is>
      </c>
      <c r="C4" s="11" t="inlineStr">
        <is>
          <t>Concrete / Masonry Wall</t>
        </is>
      </c>
      <c r="D4" s="11" t="inlineStr">
        <is>
          <t>3 inches minimum bearing</t>
        </is>
      </c>
      <c r="E4" s="12" t="inlineStr">
        <is>
          <t>IRC, Chapter 5: Floors — Section: R502.6 — Bearing</t>
        </is>
      </c>
      <c r="F4" s="13" t="n"/>
      <c r="G4" s="14" t="inlineStr">
        <is>
          <t>LINK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22.5" customHeight="1" s="18">
      <c r="A5" s="5">
        <f>A4+1</f>
        <v/>
      </c>
      <c r="B5" s="6" t="inlineStr">
        <is>
          <t>Truss (Metal Plate)</t>
        </is>
      </c>
      <c r="C5" s="6" t="inlineStr">
        <is>
          <t>Bearing Wall Top Plate</t>
        </is>
      </c>
      <c r="D5" s="6" t="inlineStr">
        <is>
          <t>not exceed ½ inch</t>
        </is>
      </c>
      <c r="E5" s="7" t="inlineStr">
        <is>
          <t>BCSI, B1: Summary Sheet — Section: Truss Installation Tolerances</t>
        </is>
      </c>
      <c r="F5" s="8" t="n"/>
      <c r="G5" s="9" t="inlineStr">
        <is>
          <t>LINK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22.5" customHeight="1" s="18">
      <c r="A6" s="10">
        <f>A5+1</f>
        <v/>
      </c>
      <c r="B6" s="11" t="inlineStr">
        <is>
          <t>Truss Bottom Chord</t>
        </is>
      </c>
      <c r="C6" s="11" t="inlineStr">
        <is>
          <t>Support Plate</t>
        </is>
      </c>
      <c r="D6" s="11" t="inlineStr">
        <is>
          <t>3 inches is typical</t>
        </is>
      </c>
      <c r="E6" s="12" t="inlineStr">
        <is>
          <t>BCSI, B1: Summary Sheet — Section: Truss Installation Tolerances</t>
        </is>
      </c>
      <c r="F6" s="13" t="n"/>
      <c r="G6" s="14" t="inlineStr">
        <is>
          <t>LINK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22.5" customHeight="1" s="18">
      <c r="A7" s="5">
        <f>A6+1</f>
        <v/>
      </c>
      <c r="B7" s="6" t="inlineStr">
        <is>
          <t>Roof Rafter</t>
        </is>
      </c>
      <c r="C7" s="6" t="inlineStr">
        <is>
          <t>Top Plate</t>
        </is>
      </c>
      <c r="D7" s="6" t="inlineStr">
        <is>
          <t>Notch cannot exceed 1/4 of the rafter depth</t>
        </is>
      </c>
      <c r="E7" s="7" t="inlineStr">
        <is>
          <t>IRC, Chapter 8: Roof-Ceiling Construction — Section: R802.7.1 — Sawn lumber (notching)</t>
        </is>
      </c>
      <c r="F7" s="8" t="n"/>
      <c r="G7" s="9" t="inlineStr">
        <is>
          <t>LINK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22.5" customHeight="1" s="18">
      <c r="A8" s="10">
        <f>A7+1</f>
        <v/>
      </c>
      <c r="B8" s="11" t="inlineStr">
        <is>
          <t>Joist Hanger</t>
        </is>
      </c>
      <c r="C8" s="11" t="inlineStr">
        <is>
          <t>Ledger Board</t>
        </is>
      </c>
      <c r="D8" s="11" t="inlineStr">
        <is>
          <t>Bearing capacity of the seat</t>
        </is>
      </c>
      <c r="E8" s="12" t="inlineStr">
        <is>
          <t>Carpentry, Chapter 11: Fasteners — Section: Joist Hangers</t>
        </is>
      </c>
      <c r="F8" s="13" t="n"/>
      <c r="G8" s="14" t="inlineStr">
        <is>
          <t>LINK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22.5" customHeight="1" s="18">
      <c r="A9" s="5">
        <f>A8+1</f>
        <v/>
      </c>
      <c r="B9" s="6" t="inlineStr">
        <is>
          <t>Deck Ledger</t>
        </is>
      </c>
      <c r="C9" s="6" t="inlineStr">
        <is>
          <t>House Band Joist</t>
        </is>
      </c>
      <c r="D9" s="6" t="inlineStr">
        <is>
          <t>Positive attachment (Bolts/Lags) required</t>
        </is>
      </c>
      <c r="E9" s="7" t="inlineStr">
        <is>
          <t>Carpentry, Chapter 35: Decks &amp; Porches — Section: Ledger Attachment; IRC, Chapter 5: Floors — Section: R507.2 — Deck ledger connection to band joist</t>
        </is>
      </c>
      <c r="F9" s="8" t="n"/>
      <c r="G9" s="9" t="inlineStr">
        <is>
          <t>LINK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22.5" customHeight="1" s="18">
      <c r="A10" s="10">
        <f>A9+1</f>
        <v/>
      </c>
      <c r="B10" s="11" t="inlineStr">
        <is>
          <t>Glulam Beam</t>
        </is>
      </c>
      <c r="C10" s="11" t="inlineStr">
        <is>
          <t>Column Cap</t>
        </is>
      </c>
      <c r="D10" s="11" t="inlineStr">
        <is>
          <t>width of the cap</t>
        </is>
      </c>
      <c r="E10" s="15" t="inlineStr">
        <is>
          <t>Carpentry, Chapter 13: Engineered Wood — Section: Glued-Laminated Beams</t>
        </is>
      </c>
      <c r="F10" s="13" t="n"/>
      <c r="G10" s="14" t="inlineStr">
        <is>
          <t>LINK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22.5" customHeight="1" s="18">
      <c r="A11" s="5">
        <f>A10+1</f>
        <v/>
      </c>
      <c r="B11" s="6" t="inlineStr">
        <is>
          <t>Cantilever Joist</t>
        </is>
      </c>
      <c r="C11" s="6" t="inlineStr">
        <is>
          <t>Backspan (Interior)</t>
        </is>
      </c>
      <c r="D11" s="6" t="inlineStr">
        <is>
          <t>1:3 ratio</t>
        </is>
      </c>
      <c r="E11" s="7" t="inlineStr">
        <is>
          <t>Carpentry, Chapter 13: Engineered Wood — Section: I-Joist Cantilevers and Backspan</t>
        </is>
      </c>
      <c r="F11" s="8" t="n"/>
      <c r="G11" s="9" t="inlineStr">
        <is>
          <t>LINK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22.5" customHeight="1" s="18">
      <c r="A12" s="10">
        <f>A11+1</f>
        <v/>
      </c>
      <c r="B12" s="11" t="inlineStr">
        <is>
          <t>Siding (Vinyl)</t>
        </is>
      </c>
      <c r="C12" s="11" t="inlineStr">
        <is>
          <t>Starter Strip</t>
        </is>
      </c>
      <c r="D12" s="11" t="inlineStr">
        <is>
          <t>Locking leg. Bottom panel "sits" locked into the starter strip; do not face nail tight (allow movement).</t>
        </is>
      </c>
      <c r="E12" s="12" t="inlineStr">
        <is>
          <t>Carpentry, Chapter 23: Siding — Section: Vinyl Siding Installation</t>
        </is>
      </c>
      <c r="F12" s="13" t="n"/>
      <c r="G12" s="14" t="inlineStr">
        <is>
          <t>LINK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22.5" customHeight="1" s="18">
      <c r="A13" s="5">
        <f>A12+1</f>
        <v/>
      </c>
      <c r="B13" s="6" t="inlineStr">
        <is>
          <t>I-Joist Web</t>
        </is>
      </c>
      <c r="C13" s="6" t="inlineStr">
        <is>
          <t>Support Plate</t>
        </is>
      </c>
      <c r="D13" s="6" t="inlineStr">
        <is>
          <t>No direct bearing</t>
        </is>
      </c>
      <c r="E13" s="7" t="inlineStr">
        <is>
          <t>Carpentry, Chapter 13: Engineered Wood — Section: I-Joists</t>
        </is>
      </c>
      <c r="F13" s="8" t="n"/>
      <c r="G13" s="9" t="inlineStr">
        <is>
          <t>LINK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22.5" customHeight="1" s="18">
      <c r="A14" s="10">
        <f>A13+1</f>
        <v/>
      </c>
      <c r="B14" s="11" t="inlineStr">
        <is>
          <t>Gutters</t>
        </is>
      </c>
      <c r="C14" s="11" t="inlineStr">
        <is>
          <t>Fascia Board</t>
        </is>
      </c>
      <c r="D14" s="11" t="inlineStr">
        <is>
          <t>Slope required. Must slope towards downspout (min 1/16" per foot usually) to drain.</t>
        </is>
      </c>
      <c r="E14" s="12" t="inlineStr">
        <is>
          <t>Carpentry, Chapter 22: Roofing &amp; Gutters — Section: Gutter Installation and Slope</t>
        </is>
      </c>
      <c r="F14" s="13" t="n"/>
      <c r="G14" s="14" t="inlineStr">
        <is>
          <t>LINK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22.5" customHeight="1" s="18">
      <c r="A15" s="5">
        <f>A14+1</f>
        <v/>
      </c>
      <c r="B15" s="6" t="inlineStr">
        <is>
          <t>Log Wall</t>
        </is>
      </c>
      <c r="C15" s="6" t="inlineStr">
        <is>
          <t>Vertical Post</t>
        </is>
      </c>
      <c r="D15" s="6" t="inlineStr">
        <is>
          <t>Screw jacks</t>
        </is>
      </c>
      <c r="E15" s="7" t="inlineStr">
        <is>
          <t>Carpentry, Chapter 7: Ladders, Scaffolds &amp; Other Support — Section: Temporary Support and Leveling Devices</t>
        </is>
      </c>
      <c r="F15" s="8" t="n"/>
      <c r="G15" s="9" t="inlineStr">
        <is>
          <t>LINK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22.5" customHeight="1" s="18">
      <c r="A16" s="10">
        <f>A15+1</f>
        <v/>
      </c>
      <c r="B16" s="11" t="inlineStr">
        <is>
          <t>Ceiling Drywall</t>
        </is>
      </c>
      <c r="C16" s="11" t="inlineStr">
        <is>
          <t>Top Plate (Truss Uplift)</t>
        </is>
      </c>
      <c r="D16" s="11" t="inlineStr">
        <is>
          <t>Floating corner.</t>
        </is>
      </c>
      <c r="E16" s="12" t="inlineStr">
        <is>
          <t>Gypsum, Chapter 3: Cladding — Section: Floating Interior Angle Application</t>
        </is>
      </c>
      <c r="F16" s="13" t="n"/>
      <c r="G16" s="14" t="inlineStr">
        <is>
          <t>LINK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22.5" customHeight="1" s="18">
      <c r="A17" s="5">
        <f>A16+1</f>
        <v/>
      </c>
      <c r="B17" s="6" t="inlineStr">
        <is>
          <t>SIPs Panel</t>
        </is>
      </c>
      <c r="C17" s="6" t="inlineStr">
        <is>
          <t>Foundation</t>
        </is>
      </c>
      <c r="D17" s="6" t="inlineStr">
        <is>
          <t>Bottom/Sill Plate required.</t>
        </is>
      </c>
      <c r="E17" s="7" t="inlineStr">
        <is>
          <t>IRC, Chapter 6: Wall Construction — Section: R610 — Structural Insulated Panel Wall Construction</t>
        </is>
      </c>
      <c r="F17" s="8" t="n"/>
      <c r="G17" s="9" t="inlineStr">
        <is>
          <t>LINK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22.5" customHeight="1" s="18">
      <c r="A18" s="10">
        <f>A17+1</f>
        <v/>
      </c>
      <c r="B18" s="11" t="inlineStr">
        <is>
          <t>Steel Joist (K-Series)</t>
        </is>
      </c>
      <c r="C18" s="11" t="inlineStr">
        <is>
          <t>Steel Plate / Support</t>
        </is>
      </c>
      <c r="D18" s="11" t="inlineStr">
        <is>
          <t>2½ inches minimum bearing length</t>
        </is>
      </c>
      <c r="E18" s="12" t="inlineStr">
        <is>
          <t>SteelJoists, Chapter 5: Erecting Joist Products — Section: Bearing on Steel Supports</t>
        </is>
      </c>
      <c r="F18" s="13" t="n"/>
      <c r="G18" s="14" t="inlineStr">
        <is>
          <t>LINK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22.5" customHeight="1" s="18">
      <c r="A19" s="5">
        <f>A18+1</f>
        <v/>
      </c>
      <c r="B19" s="6" t="inlineStr">
        <is>
          <t>Steel Joist (K-Series)</t>
        </is>
      </c>
      <c r="C19" s="6" t="inlineStr">
        <is>
          <t>Masonry Wall</t>
        </is>
      </c>
      <c r="D19" s="6" t="inlineStr">
        <is>
          <t>4 inches minimum bearing</t>
        </is>
      </c>
      <c r="E19" s="7" t="inlineStr">
        <is>
          <t>SteelJoists, Chapter 5: Erecting Joist Products — Section: Bearing on Masonry</t>
        </is>
      </c>
      <c r="F19" s="8" t="n"/>
      <c r="G19" s="9" t="inlineStr">
        <is>
          <t>LINK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22.5" customHeight="1" s="18">
      <c r="A20" s="10">
        <f>A19+1</f>
        <v/>
      </c>
      <c r="B20" s="11" t="inlineStr">
        <is>
          <t>Joist Girder</t>
        </is>
      </c>
      <c r="C20" s="11" t="inlineStr">
        <is>
          <t>Steel Column</t>
        </is>
      </c>
      <c r="D20" s="11" t="inlineStr">
        <is>
          <t>4 inches (Standard); 6 inches if spanning &gt; 60 ft.</t>
        </is>
      </c>
      <c r="E20" s="12" t="inlineStr">
        <is>
          <t>SteelJoists, Chapter 5: Erecting Joist Products — Section: Bearing on Steel Column</t>
        </is>
      </c>
      <c r="F20" s="13" t="n"/>
      <c r="G20" s="14" t="inlineStr">
        <is>
          <t>LINK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22.5" customHeight="1" s="18">
      <c r="A21" s="5">
        <f>A20+1</f>
        <v/>
      </c>
      <c r="B21" s="6" t="inlineStr">
        <is>
          <t>LH / DLH Joist</t>
        </is>
      </c>
      <c r="C21" s="6" t="inlineStr">
        <is>
          <t>Masonry Wall</t>
        </is>
      </c>
      <c r="D21" s="6" t="inlineStr">
        <is>
          <t>6 inches minimum bearing length</t>
        </is>
      </c>
      <c r="E21" s="7" t="inlineStr">
        <is>
          <t>SteelJoists, Chapter 5: Erecting Joist Products — Section: Bearing on Masonry</t>
        </is>
      </c>
      <c r="F21" s="8" t="n"/>
      <c r="G21" s="9" t="inlineStr">
        <is>
          <t>LINK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22.5" customHeight="1" s="18">
      <c r="A22" s="10">
        <f>A21+1</f>
        <v/>
      </c>
      <c r="B22" s="11" t="inlineStr">
        <is>
          <t>Steel Deck</t>
        </is>
      </c>
      <c r="C22" s="11" t="inlineStr">
        <is>
          <t>Steel Support</t>
        </is>
      </c>
      <c r="D22" s="11" t="inlineStr">
        <is>
          <t>1½ inches minimum bearing length</t>
        </is>
      </c>
      <c r="E22" s="12" t="inlineStr">
        <is>
          <t>SteelDeck, Chapter 6: Erection of deck and job site safety — Section: Fastening and Installing Deck</t>
        </is>
      </c>
      <c r="F22" s="13" t="n"/>
      <c r="G22" s="14" t="inlineStr">
        <is>
          <t>LINK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22.5" customHeight="1" s="18">
      <c r="A23" s="5">
        <f>A22+1</f>
        <v/>
      </c>
      <c r="B23" s="6" t="inlineStr">
        <is>
          <t>Steel Deck</t>
        </is>
      </c>
      <c r="C23" s="6" t="inlineStr">
        <is>
          <t>Support (Fastening)</t>
        </is>
      </c>
      <c r="D23" s="6" t="inlineStr">
        <is>
          <t>5/8 inch minimum visible diameter arc spot weld</t>
        </is>
      </c>
      <c r="E23" s="7" t="inlineStr">
        <is>
          <t>SteelDeck, Chapter 6: Erection of deck and job site safety — Section: Side Lap Connections</t>
        </is>
      </c>
      <c r="F23" s="8" t="n"/>
      <c r="G23" s="9" t="inlineStr">
        <is>
          <t>LINK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22.5" customHeight="1" s="18">
      <c r="A24" s="10">
        <f>A23+1</f>
        <v/>
      </c>
      <c r="B24" s="11" t="inlineStr">
        <is>
          <t>Deck Side Lap</t>
        </is>
      </c>
      <c r="C24" s="11" t="inlineStr">
        <is>
          <t>Steel Support</t>
        </is>
      </c>
      <c r="D24" s="11" t="inlineStr">
        <is>
          <t>No</t>
        </is>
      </c>
      <c r="E24" s="12" t="inlineStr">
        <is>
          <t>SteelDeck, Chapter 6: Erection of deck and job site safety — Section: Side Lap Connections</t>
        </is>
      </c>
      <c r="F24" s="13" t="n"/>
      <c r="G24" s="14" t="inlineStr">
        <is>
          <t>LINK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22.5" customHeight="1" s="18">
      <c r="A25" s="5">
        <f>A24+1</f>
        <v/>
      </c>
      <c r="B25" s="6" t="inlineStr">
        <is>
          <t>Bridging Terminus</t>
        </is>
      </c>
      <c r="C25" s="6" t="inlineStr">
        <is>
          <t>Wall / Structural Steel</t>
        </is>
      </c>
      <c r="D25" s="6" t="inlineStr">
        <is>
          <t>anchored (bear)</t>
        </is>
      </c>
      <c r="E25" s="7" t="inlineStr">
        <is>
          <t>SteelJoists, Chapter 8: Bridging — Section: Bridging Termination; OSHA, Subpart R: Steel Erection — Section: 1926.757(d) — Erection bridging terminus anchors</t>
        </is>
      </c>
      <c r="F25" s="8" t="n"/>
      <c r="G25" s="9" t="inlineStr">
        <is>
          <t>LINK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22.5" customHeight="1" s="18">
      <c r="A26" s="10">
        <f>A25+1</f>
        <v/>
      </c>
      <c r="B26" s="11" t="inlineStr">
        <is>
          <t>Cold Formed Steel</t>
        </is>
      </c>
      <c r="C26" s="11" t="inlineStr">
        <is>
          <t>Concrete Foundation</t>
        </is>
      </c>
      <c r="D26" s="11" t="inlineStr">
        <is>
          <t>full bearing</t>
        </is>
      </c>
      <c r="E26" s="12" t="inlineStr">
        <is>
          <t>IBC, Chapter 22: Steel — Section: 2211 — Cold-Formed Steel Light-Frame Construction</t>
        </is>
      </c>
      <c r="F26" s="13" t="n"/>
      <c r="G26" s="14" t="inlineStr">
        <is>
          <t>LINK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22.5" customHeight="1" s="18">
      <c r="A27" s="5">
        <f>A26+1</f>
        <v/>
      </c>
      <c r="B27" s="6" t="inlineStr">
        <is>
          <t>Steel Lintel</t>
        </is>
      </c>
      <c r="C27" s="6" t="inlineStr">
        <is>
          <t>Masonry Opening</t>
        </is>
      </c>
      <c r="D27" s="6" t="inlineStr">
        <is>
          <t>4 inches minimum bearing</t>
        </is>
      </c>
      <c r="E27" s="7" t="inlineStr">
        <is>
          <t>Masonry, Chapter 17: Paving and Masonry Construction Details — Section: Lintel Bearing</t>
        </is>
      </c>
      <c r="F27" s="8" t="n"/>
      <c r="G27" s="9" t="inlineStr">
        <is>
          <t>LINK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22.5" customHeight="1" s="18">
      <c r="A28" s="10">
        <f>A27+1</f>
        <v/>
      </c>
      <c r="B28" s="11" t="inlineStr">
        <is>
          <t>CMU Lintel</t>
        </is>
      </c>
      <c r="C28" s="11" t="inlineStr">
        <is>
          <t>CMU Jamb</t>
        </is>
      </c>
      <c r="D28" s="11" t="inlineStr">
        <is>
          <t>8 inches is standard preference</t>
        </is>
      </c>
      <c r="E28" s="12" t="inlineStr">
        <is>
          <t>Masonry, Chapter 17: Paving and Masonry Construction Details — Section: Lintel Bearing</t>
        </is>
      </c>
      <c r="F28" s="13" t="n"/>
      <c r="G28" s="14" t="inlineStr">
        <is>
          <t>LINK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22.5" customHeight="1" s="18">
      <c r="A29" s="5">
        <f>A28+1</f>
        <v/>
      </c>
      <c r="B29" s="6" t="inlineStr">
        <is>
          <t>Wood Beam</t>
        </is>
      </c>
      <c r="C29" s="6" t="inlineStr">
        <is>
          <t>Masonry Pocket</t>
        </is>
      </c>
      <c r="D29" s="6" t="inlineStr">
        <is>
          <t>½ inch air space on top, sides, and end</t>
        </is>
      </c>
      <c r="E29" s="7" t="inlineStr">
        <is>
          <t>IRC, Chapter 5: Floors — Section: R502.6 — Bearing</t>
        </is>
      </c>
      <c r="F29" s="8" t="n"/>
      <c r="G29" s="9" t="inlineStr">
        <is>
          <t>LINK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22.5" customHeight="1" s="18">
      <c r="A30" s="10">
        <f>A29+1</f>
        <v/>
      </c>
      <c r="B30" s="11" t="inlineStr">
        <is>
          <t>Joist End (Fire Cut)</t>
        </is>
      </c>
      <c r="C30" s="11" t="inlineStr">
        <is>
          <t>Masonry Wall</t>
        </is>
      </c>
      <c r="D30" s="11" t="inlineStr">
        <is>
          <t>Fire Cut (Angled cut)</t>
        </is>
      </c>
      <c r="E30" s="12" t="inlineStr">
        <is>
          <t>Masonry, Chapter 17: Paving and Masonry Construction Details — Section: Joist Bearing and Fire Cuts</t>
        </is>
      </c>
      <c r="F30" s="13" t="n"/>
      <c r="G30" s="14" t="inlineStr">
        <is>
          <t>LINK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22.5" customHeight="1" s="18">
      <c r="A31" s="5">
        <f>A30+1</f>
        <v/>
      </c>
      <c r="B31" s="6" t="inlineStr">
        <is>
          <t>Chimney Footing</t>
        </is>
      </c>
      <c r="C31" s="6" t="inlineStr">
        <is>
          <t>Chimney Wall</t>
        </is>
      </c>
      <c r="D31" s="6" t="inlineStr">
        <is>
          <t>Minimum 6 inches projection</t>
        </is>
      </c>
      <c r="E31" s="7" t="inlineStr">
        <is>
          <t>IRC, Chapter 10: Chimneys and Fireplaces — Section: R1003.2 — Footings and Foundations</t>
        </is>
      </c>
      <c r="F31" s="8" t="n"/>
      <c r="G31" s="9" t="inlineStr">
        <is>
          <t>LINK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22.5" customHeight="1" s="18">
      <c r="A32" s="10">
        <f>A31+1</f>
        <v/>
      </c>
      <c r="B32" s="11" t="inlineStr">
        <is>
          <t>Masonry Pilaster</t>
        </is>
      </c>
      <c r="C32" s="11" t="inlineStr">
        <is>
          <t>Beam</t>
        </is>
      </c>
      <c r="D32" s="11" t="inlineStr">
        <is>
          <t>min 4 inches usually</t>
        </is>
      </c>
      <c r="E32" s="12" t="inlineStr">
        <is>
          <t>IRC, Chapter 6: Wall Construction — Section: R606.6.3 — Beam supports</t>
        </is>
      </c>
      <c r="F32" s="13" t="n"/>
      <c r="G32" s="14" t="inlineStr">
        <is>
          <t>LINK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22.5" customHeight="1" s="18">
      <c r="A33" s="5">
        <f>A32+1</f>
        <v/>
      </c>
      <c r="B33" s="6" t="inlineStr">
        <is>
          <t>Steel Column Base Plate</t>
        </is>
      </c>
      <c r="C33" s="6" t="inlineStr">
        <is>
          <t>Concrete Footing</t>
        </is>
      </c>
      <c r="D33" s="6" t="inlineStr">
        <is>
          <t>sqrt(A_2/A_1) 
(Ratio of footing area to plate area).</t>
        </is>
      </c>
      <c r="E33" s="7" t="inlineStr">
        <is>
          <t>IBC, Chapter 19: Concrete — Section: 1901.2 (referencing ACI 318-14 §22.8 — Bearing)</t>
        </is>
      </c>
      <c r="F33" s="8" t="n"/>
      <c r="G33" s="16" t="inlineStr">
        <is>
          <t>LINK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22.5" customHeight="1" s="18">
      <c r="A34" s="10">
        <f>A33+1</f>
        <v/>
      </c>
      <c r="B34" s="11" t="inlineStr">
        <is>
          <t>Reshores</t>
        </is>
      </c>
      <c r="C34" s="11" t="inlineStr">
        <is>
          <t>Structure Below</t>
        </is>
      </c>
      <c r="D34" s="11" t="inlineStr">
        <is>
          <t>Must bear directly on shores below</t>
        </is>
      </c>
      <c r="E34" s="12" t="inlineStr">
        <is>
          <t>OSHA, Subpart Q: Concrete and Masonry Construction — Section: 1926.703(b) — Shoring and reshoring</t>
        </is>
      </c>
      <c r="F34" s="13" t="n"/>
      <c r="G34" s="17" t="inlineStr">
        <is>
          <t>LINK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22.5" customHeight="1" s="18">
      <c r="A35" s="5">
        <f>A34+1</f>
        <v/>
      </c>
      <c r="B35" s="6" t="inlineStr">
        <is>
          <t>Stressing Jack</t>
        </is>
      </c>
      <c r="C35" s="6" t="inlineStr">
        <is>
          <t>Concrete</t>
        </is>
      </c>
      <c r="D35" s="6" t="inlineStr">
        <is>
          <t>Bears on the anchorage assembly/bearing plate</t>
        </is>
      </c>
      <c r="E35" s="7" t="inlineStr">
        <is>
          <t>IBC, Chapter 19: Concrete — Section: 1908 — Post-Tensioned Concrete (referencing ACI 318)</t>
        </is>
      </c>
      <c r="F35" s="8" t="n"/>
      <c r="G35" s="16" t="inlineStr">
        <is>
          <t>LINK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22.5" customHeight="1" s="18">
      <c r="A36" s="10">
        <f>A35+1</f>
        <v/>
      </c>
      <c r="B36" s="11" t="inlineStr">
        <is>
          <t>Underpinning</t>
        </is>
      </c>
      <c r="C36" s="11" t="inlineStr">
        <is>
          <t>Existing Foundation</t>
        </is>
      </c>
      <c r="D36" s="11" t="inlineStr">
        <is>
          <t>Dry Pack (non-shrink grout)</t>
        </is>
      </c>
      <c r="E36" s="12" t="inlineStr">
        <is>
          <t>UNVERIFIED — no confident source found in the available book list</t>
        </is>
      </c>
      <c r="F36" s="13" t="n"/>
      <c r="G36" s="17" t="inlineStr">
        <is>
          <t>LINK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22.5" customHeight="1" s="18">
      <c r="A37" s="5">
        <f>A36+1</f>
        <v/>
      </c>
      <c r="B37" s="6" t="inlineStr">
        <is>
          <t>Gypsum Board</t>
        </is>
      </c>
      <c r="C37" s="6" t="inlineStr">
        <is>
          <t>Finished Floor</t>
        </is>
      </c>
      <c r="D37" s="6" t="inlineStr">
        <is>
          <t>¼ inch gap minimum</t>
        </is>
      </c>
      <c r="E37" s="7" t="inlineStr">
        <is>
          <t>Gypsum, Chapter 3: Cladding — Section: Perimeter Relief</t>
        </is>
      </c>
      <c r="F37" s="8" t="n"/>
      <c r="G37" s="16" t="inlineStr">
        <is>
          <t>LINK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22.5" customHeight="1" s="18">
      <c r="A38" s="10">
        <f>A37+1</f>
        <v/>
      </c>
      <c r="B38" s="11" t="inlineStr">
        <is>
          <t>Concrete Slab</t>
        </is>
      </c>
      <c r="C38" s="11" t="inlineStr">
        <is>
          <t>Soil (Presumptive)</t>
        </is>
      </c>
      <c r="D38" s="11" t="inlineStr">
        <is>
          <t>Typical presumptive value 2,000 psf</t>
        </is>
      </c>
      <c r="E38" s="12" t="inlineStr">
        <is>
          <t>IRC, Chapter 4: Foundations — Section: Table R401.4.1 — Presumptive Load-Bearing Values of Foundation Materials</t>
        </is>
      </c>
      <c r="F38" s="13" t="n"/>
      <c r="G38" s="17" t="inlineStr">
        <is>
          <t>LINK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22.5" customHeight="1" s="18">
      <c r="A39" s="5">
        <f>A38+1</f>
        <v/>
      </c>
      <c r="B39" s="6" t="inlineStr">
        <is>
          <t>Footing</t>
        </is>
      </c>
      <c r="C39" s="6" t="inlineStr">
        <is>
          <t>Sandy Gravel</t>
        </is>
      </c>
      <c r="D39" s="6" t="inlineStr">
        <is>
          <t>3,000 psf (Presumptive Load-Bearing Value).</t>
        </is>
      </c>
      <c r="E39" s="7" t="inlineStr">
        <is>
          <t>IRC, Chapter 4: Foundations — Section: Table R401.4.1 — Presumptive Load-Bearing Values of Foundation Materials</t>
        </is>
      </c>
      <c r="F39" s="8" t="n"/>
      <c r="G39" s="16" t="inlineStr">
        <is>
          <t>LINK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22.5" customHeight="1" s="18">
      <c r="A40" s="10">
        <f>A39+1</f>
        <v/>
      </c>
      <c r="B40" s="11" t="inlineStr">
        <is>
          <t>Sill Plate</t>
        </is>
      </c>
      <c r="C40" s="11" t="inlineStr">
        <is>
          <t>Concrete Foundation</t>
        </is>
      </c>
      <c r="D40" s="11" t="inlineStr">
        <is>
          <t>½ inch diameter bolt; 7 inches minimum embedment into the concrete.</t>
        </is>
      </c>
      <c r="E40" s="12" t="inlineStr">
        <is>
          <t>IRC, Chapter 4: Foundations — Section: R403.1.6 — Foundation Anchorage</t>
        </is>
      </c>
      <c r="F40" s="13" t="n"/>
      <c r="G40" s="17" t="inlineStr">
        <is>
          <t>LINK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22.5" customHeight="1" s="18">
      <c r="A41" s="5">
        <f>A40+1</f>
        <v/>
      </c>
      <c r="B41" s="6" t="inlineStr">
        <is>
          <t>Footing</t>
        </is>
      </c>
      <c r="C41" s="6" t="inlineStr">
        <is>
          <t>Sloped Soil</t>
        </is>
      </c>
      <c r="D41" s="6" t="inlineStr">
        <is>
          <t>Stepped Footing</t>
        </is>
      </c>
      <c r="E41" s="7" t="inlineStr">
        <is>
          <t>IRC, Chapter 4: Foundations — Section: R403.1.5 — Slope</t>
        </is>
      </c>
      <c r="F41" s="8" t="n"/>
      <c r="G41" s="16" t="inlineStr">
        <is>
          <t>LINK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22.5" customHeight="1" s="18">
      <c r="A42" s="10">
        <f>A41+1</f>
        <v/>
      </c>
      <c r="B42" s="11" t="inlineStr">
        <is>
          <t>Crane Outrigger</t>
        </is>
      </c>
      <c r="C42" s="11" t="inlineStr">
        <is>
          <t>Ground</t>
        </is>
      </c>
      <c r="D42" s="11" t="inlineStr">
        <is>
          <t>Timber mats, cribbing, or pads required</t>
        </is>
      </c>
      <c r="E42" s="12" t="inlineStr">
        <is>
          <t>OSHA, Subpart CC: Cranes and Derricks — Section: 1926.1402 — Ground conditions</t>
        </is>
      </c>
      <c r="F42" s="13" t="n"/>
      <c r="G42" s="17" t="inlineStr">
        <is>
          <t>LINK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22.5" customHeight="1" s="18">
      <c r="A43" s="5">
        <f>A42+1</f>
        <v/>
      </c>
      <c r="B43" s="6" t="inlineStr">
        <is>
          <t>Crane Mat</t>
        </is>
      </c>
      <c r="C43" s="6" t="inlineStr">
        <is>
          <t>Crane Tracks</t>
        </is>
      </c>
      <c r="D43" s="6" t="inlineStr">
        <is>
          <t>Timbers must be placed perpendicular to the direction of travel/tracks to bridge pressure.</t>
        </is>
      </c>
      <c r="E43" s="7" t="inlineStr">
        <is>
          <t>OSHA, Subpart CC: Cranes and Derricks — Section: 1926.1402 — Ground conditions</t>
        </is>
      </c>
      <c r="F43" s="8" t="n"/>
      <c r="G43" s="16" t="inlineStr">
        <is>
          <t>LINK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22.5" customHeight="1" s="18">
      <c r="A44" s="10">
        <f>A43+1</f>
        <v/>
      </c>
      <c r="B44" s="11" t="inlineStr">
        <is>
          <t>Spoil Pile</t>
        </is>
      </c>
      <c r="C44" s="11" t="inlineStr">
        <is>
          <t>Excavation Edge</t>
        </is>
      </c>
      <c r="D44" s="11" t="inlineStr">
        <is>
          <t>Minimum 2 feet from the edge</t>
        </is>
      </c>
      <c r="E44" s="12" t="inlineStr">
        <is>
          <t>OSHA, Subpart P: Excavations — Section: 1926.651(j)(2) — Protection of employees from loose rock or soil</t>
        </is>
      </c>
      <c r="F44" s="13" t="n"/>
      <c r="G44" s="17" t="inlineStr">
        <is>
          <t>LINK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22.5" customHeight="1" s="18">
      <c r="A45" s="5">
        <f>A44+1</f>
        <v/>
      </c>
      <c r="B45" s="6" t="inlineStr">
        <is>
          <t>Scaffold Leg</t>
        </is>
      </c>
      <c r="C45" s="6" t="inlineStr">
        <is>
          <t>Surface/Ground</t>
        </is>
      </c>
      <c r="D45" s="6" t="inlineStr">
        <is>
          <t>Base plates are mandatory. Mud sills required if bearing on earth/asphalt.</t>
        </is>
      </c>
      <c r="E45" s="7" t="inlineStr">
        <is>
          <t>OSHA, Subpart L: Scaffolds — Section: 1926.451(c)(2) — Criteria for supported scaffolds</t>
        </is>
      </c>
      <c r="F45" s="8" t="n"/>
      <c r="G45" s="16" t="inlineStr">
        <is>
          <t>LINK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22.5" customHeight="1" s="18">
      <c r="A46" s="10">
        <f>A45+1</f>
        <v/>
      </c>
      <c r="B46" s="11" t="inlineStr">
        <is>
          <t>Thrust Block</t>
        </is>
      </c>
      <c r="C46" s="11" t="inlineStr">
        <is>
          <t>Trench Wall</t>
        </is>
      </c>
      <c r="D46" s="11" t="inlineStr">
        <is>
          <t>Must bear against undisturbed soil</t>
        </is>
      </c>
      <c r="E46" s="12" t="inlineStr">
        <is>
          <t>Pipe&amp;Excavation, Chapter 7: Installing Water Systems — Section: Thrust Blocking</t>
        </is>
      </c>
      <c r="F46" s="13" t="n"/>
      <c r="G46" s="17" t="inlineStr">
        <is>
          <t>LINK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22.5" customHeight="1" s="18">
      <c r="A47" s="5">
        <f>A46+1</f>
        <v/>
      </c>
      <c r="B47" s="6" t="inlineStr">
        <is>
          <t>Pipe</t>
        </is>
      </c>
      <c r="C47" s="6" t="inlineStr">
        <is>
          <t>Concrete Cradle</t>
        </is>
      </c>
      <c r="D47" s="6" t="inlineStr">
        <is>
          <t>120 degrees typical bedding angle</t>
        </is>
      </c>
      <c r="E47" s="7" t="inlineStr">
        <is>
          <t>Pipe&amp;Excavation, Chapter 8: Installing Sewer &amp; Stormwater Systems — Section: Pipe Bedding</t>
        </is>
      </c>
      <c r="F47" s="8" t="n"/>
      <c r="G47" s="16" t="inlineStr">
        <is>
          <t>LINK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22.5" customHeight="1" s="18">
      <c r="A48" s="10">
        <f>A47+1</f>
        <v/>
      </c>
      <c r="B48" s="11" t="inlineStr">
        <is>
          <t>Footing</t>
        </is>
      </c>
      <c r="C48" s="11" t="inlineStr">
        <is>
          <t>Compacted Soil</t>
        </is>
      </c>
      <c r="D48" s="11" t="inlineStr">
        <is>
          <t>95% Modified Proctor density</t>
        </is>
      </c>
      <c r="E48" s="12" t="inlineStr">
        <is>
          <t>Pipe&amp;Excavation, Chapter 6: Soil Compaction — Section: Compaction Density Requirements</t>
        </is>
      </c>
      <c r="F48" s="13" t="n"/>
      <c r="G48" s="17" t="inlineStr">
        <is>
          <t>LINK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22.5" customHeight="1" s="18">
      <c r="A49" s="5">
        <f>A48+1</f>
        <v/>
      </c>
      <c r="B49" s="6" t="inlineStr">
        <is>
          <t>Slab Edge Insulation</t>
        </is>
      </c>
      <c r="C49" s="6" t="inlineStr">
        <is>
          <t>Slab Edge</t>
        </is>
      </c>
      <c r="D49" s="6" t="inlineStr">
        <is>
          <t>Protective covering required</t>
        </is>
      </c>
      <c r="E49" s="7" t="inlineStr">
        <is>
          <t>IECC, Chapter 4: Residential Energy Efficiency — Section: 402.2.3 — Below-Grade Foundation Insulation Protection</t>
        </is>
      </c>
      <c r="F49" s="8" t="n"/>
      <c r="G49" s="16" t="inlineStr">
        <is>
          <t>LINK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22.5" customHeight="1" s="18">
      <c r="A50" s="10">
        <f>A49+1</f>
        <v/>
      </c>
      <c r="B50" s="11" t="inlineStr">
        <is>
          <t>Stair Stringer</t>
        </is>
      </c>
      <c r="C50" s="11" t="inlineStr">
        <is>
          <t>Header / Floor System</t>
        </is>
      </c>
      <c r="D50" s="11" t="inlineStr">
        <is>
          <t>Solid bearing required</t>
        </is>
      </c>
      <c r="E50" s="12" t="inlineStr">
        <is>
          <t>IRC, Chapter 3: Building Planning — Section: R311.7 — Stairways</t>
        </is>
      </c>
      <c r="F50" s="13" t="n"/>
      <c r="G50" s="17" t="inlineStr">
        <is>
          <t>LINK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22.5" customHeight="1" s="18">
      <c r="A51" s="5">
        <f>A50+1</f>
        <v/>
      </c>
      <c r="B51" s="6" t="inlineStr">
        <is>
          <t>Deck Post (6x6)</t>
        </is>
      </c>
      <c r="C51" s="6" t="inlineStr">
        <is>
          <t>Concrete Footing</t>
        </is>
      </c>
      <c r="D51" s="6" t="inlineStr">
        <is>
          <t>1 inch standoff (post base)</t>
        </is>
      </c>
      <c r="E51" s="7" t="inlineStr">
        <is>
          <t>Carpentry, Chapter 35: Decks &amp; Porches — Section: Post Base Standoff; IRC, Chapter 5: Floors — Section: R507.3 — Deck Footings</t>
        </is>
      </c>
      <c r="F51" s="8" t="n"/>
      <c r="G51" s="16" t="inlineStr">
        <is>
          <t>LINK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22.5" customHeight="1" s="18">
      <c r="A52" s="10">
        <f>A51+1</f>
        <v/>
      </c>
      <c r="B52" s="11" t="inlineStr">
        <is>
          <t>Purlin Strut</t>
        </is>
      </c>
      <c r="C52" s="11" t="inlineStr">
        <is>
          <t>Bearing Wall</t>
        </is>
      </c>
      <c r="D52" s="11" t="inlineStr">
        <is>
          <t>Must bear on a load-bearing wall</t>
        </is>
      </c>
      <c r="E52" s="12" t="inlineStr">
        <is>
          <t>Carpentry, Chapter 17: Basic Roof Framing — Section: Purlins and Struts</t>
        </is>
      </c>
      <c r="F52" s="13" t="n"/>
      <c r="G52" s="17" t="inlineStr">
        <is>
          <t>LINK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22.5" customHeight="1" s="18">
      <c r="A53" s="5">
        <f>A52+1</f>
        <v/>
      </c>
      <c r="B53" s="6" t="inlineStr">
        <is>
          <t>Window Head Flashing</t>
        </is>
      </c>
      <c r="C53" s="6" t="inlineStr">
        <is>
          <t>Window Unit</t>
        </is>
      </c>
      <c r="D53" s="6" t="inlineStr">
        <is>
          <t>Drip Cap required. Must extend slightly past the trim to drip water clear.</t>
        </is>
      </c>
      <c r="E53" s="7" t="inlineStr">
        <is>
          <t>IRC, Chapter 7: Wall Covering — Section: R703.4 — Flashing</t>
        </is>
      </c>
      <c r="F53" s="8" t="n"/>
      <c r="G53" s="9" t="inlineStr">
        <is>
          <t>LINK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22.5" customHeight="1" s="18">
      <c r="A54" s="10">
        <f>A53+1</f>
        <v/>
      </c>
      <c r="B54" s="11" t="inlineStr">
        <is>
          <t>Window Flashing (Top)</t>
        </is>
      </c>
      <c r="C54" s="11" t="inlineStr">
        <is>
          <t>Window Flashing (Side)</t>
        </is>
      </c>
      <c r="D54" s="11" t="inlineStr">
        <is>
          <t>Shingle Fashion. Top piece overlaps side pieces; side pieces overlap bottom piece. (Top sits on Side).</t>
        </is>
      </c>
      <c r="E54" s="12" t="inlineStr">
        <is>
          <t>IRC, Chapter 7: Wall Covering — Section: R703.4 — Flashing</t>
        </is>
      </c>
      <c r="F54" s="13" t="n"/>
      <c r="G54" s="14" t="inlineStr">
        <is>
          <t>LINK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22.5" customHeight="1" s="18">
      <c r="A55" s="5">
        <f>A54+1</f>
        <v/>
      </c>
      <c r="B55" s="6" t="inlineStr">
        <is>
          <t>Rafter Tie</t>
        </is>
      </c>
      <c r="C55" s="6" t="inlineStr">
        <is>
          <t>Top Plate</t>
        </is>
      </c>
      <c r="D55" s="6" t="inlineStr">
        <is>
          <t>Located in the lower third of the rafter height to resist thrust</t>
        </is>
      </c>
      <c r="E55" s="7" t="inlineStr">
        <is>
          <t>IRC, Chapter 8: Roof-Ceiling Construction — Section: R802.5.2 — Rafter ties</t>
        </is>
      </c>
      <c r="F55" s="8" t="n"/>
      <c r="G55" s="9" t="inlineStr">
        <is>
          <t>LINK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22.5" customHeight="1" s="18">
      <c r="A56" s="10">
        <f>A55+1</f>
        <v/>
      </c>
      <c r="B56" s="11" t="inlineStr">
        <is>
          <t>Brick Veneer</t>
        </is>
      </c>
      <c r="C56" s="11" t="inlineStr">
        <is>
          <t>Steel Lintel</t>
        </is>
      </c>
      <c r="D56" s="11" t="inlineStr">
        <is>
          <t>Weep Holes required immediately above the lintel (max 33" o.c.).</t>
        </is>
      </c>
      <c r="E56" s="12" t="inlineStr">
        <is>
          <t>IRC, Chapter 7: Wall Covering — Section: R703.8.6 — Weepholes</t>
        </is>
      </c>
      <c r="F56" s="13" t="n"/>
      <c r="G56" s="14" t="inlineStr">
        <is>
          <t>LINK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22.5" customHeight="1" s="18">
      <c r="A57" s="5">
        <f>A56+1</f>
        <v/>
      </c>
      <c r="B57" s="6" t="inlineStr">
        <is>
          <t>Collar Tie</t>
        </is>
      </c>
      <c r="C57" s="6" t="inlineStr">
        <is>
          <t>Rafter (Upper Third)</t>
        </is>
      </c>
      <c r="D57" s="6" t="inlineStr">
        <is>
          <t>Located in the upper third</t>
        </is>
      </c>
      <c r="E57" s="7" t="inlineStr">
        <is>
          <t>IRC, Chapter 8: Roof-Ceiling Construction — Section: R802.4.6 — Collar ties</t>
        </is>
      </c>
      <c r="F57" s="8" t="n"/>
      <c r="G57" s="9" t="inlineStr">
        <is>
          <t>LINK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22.5" customHeight="1" s="18">
      <c r="A58" s="10">
        <f>A57+1</f>
        <v/>
      </c>
      <c r="B58" s="11" t="inlineStr">
        <is>
          <t>Downspout Extension</t>
        </is>
      </c>
      <c r="C58" s="11" t="inlineStr">
        <is>
          <t>Grade</t>
        </is>
      </c>
      <c r="D58" s="11" t="inlineStr">
        <is>
          <t>Splash Block or diverter required. Water must discharge min 5 feet away from foundation.</t>
        </is>
      </c>
      <c r="E58" s="12" t="inlineStr">
        <is>
          <t>IRC, Chapter 8: Roof-Ceiling Construction — Section: R801.3 — Roof drainage</t>
        </is>
      </c>
      <c r="F58" s="13" t="n"/>
      <c r="G58" s="14" t="inlineStr">
        <is>
          <t>LINK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22.5" customHeight="1" s="18">
      <c r="A59" s="5">
        <f>A58+1</f>
        <v/>
      </c>
      <c r="B59" s="6" t="inlineStr">
        <is>
          <t>Built-up Girder</t>
        </is>
      </c>
      <c r="C59" s="6" t="inlineStr">
        <is>
          <t>Wall Pocket</t>
        </is>
      </c>
      <c r="D59" s="6" t="inlineStr">
        <is>
          <t>½ inch air gap (sides/top).</t>
        </is>
      </c>
      <c r="E59" s="7" t="inlineStr">
        <is>
          <t>IRC, Chapter 5: Floors — Section: R502.6 — Bearing</t>
        </is>
      </c>
      <c r="F59" s="8" t="n"/>
      <c r="G59" s="16" t="inlineStr">
        <is>
          <t>LINK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22.5" customHeight="1" s="18">
      <c r="A60" s="10">
        <f>A59+1</f>
        <v/>
      </c>
      <c r="B60" s="11" t="inlineStr">
        <is>
          <t>Fireblocking</t>
        </is>
      </c>
      <c r="C60" s="11" t="inlineStr">
        <is>
          <t>Stud Cavity (Vertically)</t>
        </is>
      </c>
      <c r="D60" s="11" t="inlineStr">
        <is>
          <t>10 feet max vertical interval</t>
        </is>
      </c>
      <c r="E60" s="12" t="inlineStr">
        <is>
          <t>IRC, Chapter 3: Building Planning — Section: R302.11 — Fireblocking</t>
        </is>
      </c>
      <c r="F60" s="13" t="n"/>
      <c r="G60" s="14" t="inlineStr">
        <is>
          <t>LINK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22.5" customHeight="1" s="18">
      <c r="A61" s="5">
        <f>A60+1</f>
        <v/>
      </c>
      <c r="B61" s="6" t="inlineStr">
        <is>
          <t>Exterior Sheathing</t>
        </is>
      </c>
      <c r="C61" s="6" t="inlineStr">
        <is>
          <t>Foundation Sill Plate</t>
        </is>
      </c>
      <c r="D61" s="6" t="inlineStr">
        <is>
          <t>Flash properly</t>
        </is>
      </c>
      <c r="E61" s="7" t="inlineStr">
        <is>
          <t>IRC, Chapter 7: Wall Covering — Section: R703.1 — General (flashing at base of wall)</t>
        </is>
      </c>
      <c r="F61" s="8" t="n"/>
      <c r="G61" s="9" t="inlineStr">
        <is>
          <t>LINK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22.5" customHeight="1" s="18">
      <c r="A62" s="10">
        <f>A61+1</f>
        <v/>
      </c>
      <c r="B62" s="11" t="inlineStr">
        <is>
          <t>Wood Sill Plate</t>
        </is>
      </c>
      <c r="C62" s="11" t="inlineStr">
        <is>
          <t>Masonry Foundation</t>
        </is>
      </c>
      <c r="D62" s="11" t="inlineStr">
        <is>
          <t>Foam gasket</t>
        </is>
      </c>
      <c r="E62" s="12" t="inlineStr">
        <is>
          <t>IECC, Chapter 4: Residential Energy Efficiency — Section: 402.4.2 — Air Sealing and Insulation</t>
        </is>
      </c>
      <c r="F62" s="13" t="n"/>
      <c r="G62" s="14" t="inlineStr">
        <is>
          <t>LINK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22.5" customHeight="1" s="18">
      <c r="A63" s="5">
        <f>A62+1</f>
        <v/>
      </c>
      <c r="B63" s="6" t="inlineStr">
        <is>
          <t>Attic Ventilation</t>
        </is>
      </c>
      <c r="C63" s="6" t="inlineStr">
        <is>
          <t>Roof Ridge</t>
        </is>
      </c>
      <c r="D63" s="6" t="inlineStr">
        <is>
          <t>Ridge Vent. "Sits" over a cut slot in the sheathing; requires soffit intake to function (Stack Effect).</t>
        </is>
      </c>
      <c r="E63" s="7" t="inlineStr">
        <is>
          <t>IRC, Chapter 8: Roof-Ceiling Construction — Section: R806.2 — Minimum vent area</t>
        </is>
      </c>
      <c r="F63" s="8" t="n"/>
      <c r="G63" s="9" t="inlineStr">
        <is>
          <t>LINK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22.5" customHeight="1" s="18">
      <c r="A64" s="10">
        <f>A63+1</f>
        <v/>
      </c>
      <c r="B64" s="11" t="inlineStr">
        <is>
          <t>Kick-out Flashing</t>
        </is>
      </c>
      <c r="C64" s="11" t="inlineStr">
        <is>
          <t>Roof/Wall Intersection</t>
        </is>
      </c>
      <c r="D64" s="11" t="inlineStr">
        <is>
          <t>Diverter required. Sits at the bottom of the roof-wall intersection to kick water away from the siding.</t>
        </is>
      </c>
      <c r="E64" s="12" t="inlineStr">
        <is>
          <t>IRC, Chapter 9: Roof Assemblies — Section: R903.2.1 — Locations (kick-out flashing)</t>
        </is>
      </c>
      <c r="F64" s="13" t="n"/>
      <c r="G64" s="14" t="inlineStr">
        <is>
          <t>LINK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22.5" customHeight="1" s="18">
      <c r="A65" s="5">
        <f>A64+1</f>
        <v/>
      </c>
      <c r="B65" s="6" t="inlineStr">
        <is>
          <t>Ice Barrier</t>
        </is>
      </c>
      <c r="C65" s="6" t="inlineStr">
        <is>
          <t>Roof Deck (Eave)</t>
        </is>
      </c>
      <c r="D65" s="6" t="inlineStr">
        <is>
          <t>Must extend 24 inches inside the exterior wall line of the building.</t>
        </is>
      </c>
      <c r="E65" s="7" t="inlineStr">
        <is>
          <t>IRC, Chapter 9: Roof Assemblies — Section: R905.1.2 — Ice barriers</t>
        </is>
      </c>
      <c r="F65" s="8" t="n"/>
      <c r="G65" s="9" t="inlineStr">
        <is>
          <t>LINK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22.5" customHeight="1" s="18">
      <c r="A66" s="10">
        <f>A65+1</f>
        <v/>
      </c>
      <c r="B66" s="11" t="inlineStr">
        <is>
          <t>Roof Shingle (Upper)</t>
        </is>
      </c>
      <c r="C66" s="11" t="inlineStr">
        <is>
          <t>Roof Shingle (Lower)</t>
        </is>
      </c>
      <c r="D66" s="11" t="inlineStr">
        <is>
          <t>2 inches (Headlap). The upper shingle must overlap the lower one to shed water.</t>
        </is>
      </c>
      <c r="E66" s="12" t="inlineStr">
        <is>
          <t>IRC, Chapter 9: Roof Assemblies — Section: R905.2.4 — Attachment (asphalt shingles)</t>
        </is>
      </c>
      <c r="F66" s="13" t="n"/>
      <c r="G66" s="14" t="inlineStr">
        <is>
          <t>LINK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22.5" customHeight="1" s="18">
      <c r="A67" s="5">
        <f>A66+1</f>
        <v/>
      </c>
      <c r="B67" s="6" t="inlineStr">
        <is>
          <t>Skylight Curb</t>
        </is>
      </c>
      <c r="C67" s="6" t="inlineStr">
        <is>
          <t>Roof Deck</t>
        </is>
      </c>
      <c r="D67" s="6" t="inlineStr">
        <is>
          <t>4 inches minimum height. Flashing kit "sits" around this curb.</t>
        </is>
      </c>
      <c r="E67" s="7" t="inlineStr">
        <is>
          <t>IRC, Chapter 9: Roof Assemblies — Section: R905.2.8.3 — Sidewall flashing (skylight curb/crickets)</t>
        </is>
      </c>
      <c r="F67" s="8" t="n"/>
      <c r="G67" s="9" t="inlineStr">
        <is>
          <t>LINK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22.5" customHeight="1" s="18">
      <c r="A68" s="10">
        <f>A67+1</f>
        <v/>
      </c>
      <c r="B68" s="11" t="inlineStr">
        <is>
          <t>Step Flashing</t>
        </is>
      </c>
      <c r="C68" s="11" t="inlineStr">
        <is>
          <t>Roof Deck / Sidewall</t>
        </is>
      </c>
      <c r="D68" s="11" t="inlineStr">
        <is>
          <t>4 inches (Vertical leg) and 4 inches (Horizontal leg). "Sits" woven between each course of shingles.</t>
        </is>
      </c>
      <c r="E68" s="12" t="inlineStr">
        <is>
          <t>IRC, Chapter 9: Roof Assemblies — Section: R905.2.8.3 — Sidewall flashing</t>
        </is>
      </c>
      <c r="F68" s="13" t="n"/>
      <c r="G68" s="14" t="inlineStr">
        <is>
          <t>LINK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22.5" customHeight="1" s="18">
      <c r="A69" s="5">
        <f>A68+1</f>
        <v/>
      </c>
      <c r="B69" s="6" t="inlineStr">
        <is>
          <t>Drip Edge</t>
        </is>
      </c>
      <c r="C69" s="6" t="inlineStr">
        <is>
          <t>Roof Sheathing (Eave)</t>
        </is>
      </c>
      <c r="D69" s="6" t="inlineStr">
        <is>
          <t>Under the underlayment at the eaves; Over the underlayment at the rakes.</t>
        </is>
      </c>
      <c r="E69" s="7" t="inlineStr">
        <is>
          <t>IRC, Chapter 9: Roof Assemblies — Section: R905.2.8.5 — Drip edge</t>
        </is>
      </c>
      <c r="F69" s="8" t="n"/>
      <c r="G69" s="9" t="inlineStr">
        <is>
          <t>LINK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22.5" customHeight="1" s="18">
      <c r="A70" s="10">
        <f>A69+1</f>
        <v/>
      </c>
      <c r="B70" s="11" t="inlineStr">
        <is>
          <t>Valley Rafter</t>
        </is>
      </c>
      <c r="C70" s="11" t="inlineStr">
        <is>
          <t>Bearing Point</t>
        </is>
      </c>
      <c r="D70" s="11" t="inlineStr">
        <is>
          <t>Must bear on a wall or a ridge</t>
        </is>
      </c>
      <c r="E70" s="12" t="inlineStr">
        <is>
          <t>Carpentry, Chapter 18: Hip, Valley, &amp; Jack Rafters — Section: Valley Rafter Framing</t>
        </is>
      </c>
      <c r="F70" s="13" t="n"/>
      <c r="G70" s="14" t="inlineStr">
        <is>
          <t>LINK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22.5" customHeight="1" s="18">
      <c r="A71" s="5">
        <f>A70+1</f>
        <v/>
      </c>
      <c r="B71" s="6" t="inlineStr">
        <is>
          <t>Attic Access (Rough Opening)</t>
        </is>
      </c>
      <c r="C71" s="6" t="inlineStr">
        <is>
          <t>Truss Bottom Chord</t>
        </is>
      </c>
      <c r="D71" s="6" t="inlineStr">
        <is>
          <t>Blocking required perpendicular to chords.</t>
        </is>
      </c>
      <c r="E71" s="7" t="inlineStr">
        <is>
          <t>BCSI, B5: Truss Damage &amp; Repair — Section: Jobsite Modifications (Attic Access Openings)</t>
        </is>
      </c>
      <c r="F71" s="8" t="n"/>
      <c r="G71" s="9" t="inlineStr">
        <is>
          <t>LINK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22.5" customHeight="1" s="18">
      <c r="A72" s="10">
        <f>A71+1</f>
        <v/>
      </c>
      <c r="B72" s="11" t="inlineStr">
        <is>
          <t>Notched Stud (Bearing)</t>
        </is>
      </c>
      <c r="C72" s="11" t="inlineStr">
        <is>
          <t>Top/Bottom Plate</t>
        </is>
      </c>
      <c r="D72" s="11" t="inlineStr">
        <is>
          <t>Max notch 25% of width.
(Non-bearing walls allow 40%).</t>
        </is>
      </c>
      <c r="E72" s="12" t="inlineStr">
        <is>
          <t>IRC, Chapter 6: Wall Construction — Section: R602.6 — Drilling and notching of studs</t>
        </is>
      </c>
      <c r="F72" s="13" t="n"/>
      <c r="G72" s="14" t="inlineStr">
        <is>
          <t>LINK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22.5" customHeight="1" s="18">
      <c r="A73" s="5">
        <f>A72+1</f>
        <v/>
      </c>
      <c r="B73" s="6" t="inlineStr">
        <is>
          <t>Bored Stud (Bearing)</t>
        </is>
      </c>
      <c r="C73" s="6" t="inlineStr">
        <is>
          <t>Top/Bottom Plate</t>
        </is>
      </c>
      <c r="D73" s="6" t="inlineStr">
        <is>
          <t>Max hole diameter 40% of width. 
(60% allowed if doubled/shoe-reinforced).</t>
        </is>
      </c>
      <c r="E73" s="7" t="inlineStr">
        <is>
          <t>IRC, Chapter 6: Wall Construction — Section: R602.6 — Drilling and notching of studs</t>
        </is>
      </c>
      <c r="F73" s="8" t="n"/>
      <c r="G73" s="9" t="inlineStr">
        <is>
          <t>LINK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22.5" customHeight="1" s="18">
      <c r="A74" s="10">
        <f>A73+1</f>
        <v/>
      </c>
      <c r="B74" s="11" t="inlineStr">
        <is>
          <t>Post-Frame Column</t>
        </is>
      </c>
      <c r="C74" s="11" t="inlineStr">
        <is>
          <t>Concrete Footing</t>
        </is>
      </c>
      <c r="D74" s="11" t="inlineStr">
        <is>
          <t>Uplift protection</t>
        </is>
      </c>
      <c r="E74" s="12" t="inlineStr">
        <is>
          <t>IBC, Chapter 23: Wood — Section: 2308.8.1 — Post-frame construction (uplift)</t>
        </is>
      </c>
      <c r="F74" s="13" t="n"/>
      <c r="G74" s="14" t="inlineStr">
        <is>
          <t>LINK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22.5" customHeight="1" s="18">
      <c r="A75" s="5">
        <f>A74+1</f>
        <v/>
      </c>
      <c r="B75" s="6" t="inlineStr">
        <is>
          <t>Steel Column</t>
        </is>
      </c>
      <c r="C75" s="6" t="inlineStr">
        <is>
          <t>Leveling Shims</t>
        </is>
      </c>
      <c r="D75" s="6" t="inlineStr">
        <is>
          <t>Shims must be removed after grouting? No. Grout is packed under the plate around shims. Shims transfer load until grout cures.</t>
        </is>
      </c>
      <c r="E75" s="7" t="inlineStr">
        <is>
          <t>IBC, Chapter 19: Concrete — Section: 1908 — Base plate grouting</t>
        </is>
      </c>
      <c r="F75" s="8" t="n"/>
      <c r="G75" s="9" t="inlineStr">
        <is>
          <t>LINK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22.5" customHeight="1" s="18">
      <c r="A76" s="10">
        <f>A75+1</f>
        <v/>
      </c>
      <c r="B76" s="11" t="inlineStr">
        <is>
          <t>Double Angle Bridging</t>
        </is>
      </c>
      <c r="C76" s="11" t="inlineStr">
        <is>
          <t>Steel Joist Chord</t>
        </is>
      </c>
      <c r="D76" s="11" t="inlineStr">
        <is>
          <t>Bolted or Welded at the intersection</t>
        </is>
      </c>
      <c r="E76" s="12" t="inlineStr">
        <is>
          <t>OSHA, Subpart R: Steel Erection — Section: 1926.757(d) — Erection bridging</t>
        </is>
      </c>
      <c r="F76" s="13" t="n"/>
      <c r="G76" s="14" t="inlineStr">
        <is>
          <t>LINK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22.5" customHeight="1" s="18">
      <c r="A77" s="5">
        <f>A76+1</f>
        <v/>
      </c>
      <c r="B77" s="6" t="inlineStr">
        <is>
          <t>K-Series Joist (Uplift)</t>
        </is>
      </c>
      <c r="C77" s="6" t="inlineStr">
        <is>
          <t>Support</t>
        </is>
      </c>
      <c r="D77" s="6" t="inlineStr">
        <is>
          <t>If uplift &gt; gravity load, the bearing seat must be bolted or welded to resist that specific uplift force.</t>
        </is>
      </c>
      <c r="E77" s="7" t="inlineStr">
        <is>
          <t>OSHA, Subpart R: Steel Erection — Section: 1926.757(b) — Erection of open web steel joists</t>
        </is>
      </c>
      <c r="F77" s="8" t="n"/>
      <c r="G77" s="9" t="inlineStr">
        <is>
          <t>LINK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22.5" customHeight="1" s="18">
      <c r="A78" s="10">
        <f>A77+1</f>
        <v/>
      </c>
      <c r="B78" s="11" t="inlineStr">
        <is>
          <t>Cantilever Deck</t>
        </is>
      </c>
      <c r="C78" s="11" t="inlineStr">
        <is>
          <t>Support</t>
        </is>
      </c>
      <c r="D78" s="11" t="inlineStr">
        <is>
          <t>Backspan deck sheet must be fastened at all supports, including the one furthest from the cantilever.</t>
        </is>
      </c>
      <c r="E78" s="12" t="inlineStr">
        <is>
          <t>SteelDeck, Chapter 6: Erection of deck and job site safety — Section: Fastening and Installing Deck</t>
        </is>
      </c>
      <c r="F78" s="13" t="n"/>
      <c r="G78" s="14" t="inlineStr">
        <is>
          <t>LINK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22.5" customHeight="1" s="18">
      <c r="A79" s="5">
        <f>A78+1</f>
        <v/>
      </c>
      <c r="B79" s="6" t="inlineStr">
        <is>
          <t>Deck Sump Pan</t>
        </is>
      </c>
      <c r="C79" s="6" t="inlineStr">
        <is>
          <t>Framing</t>
        </is>
      </c>
      <c r="D79" s="6" t="inlineStr">
        <is>
          <t>Must bear on structural framing (angles/tees) on all sides, not just the deck sheet edges.</t>
        </is>
      </c>
      <c r="E79" s="7" t="inlineStr">
        <is>
          <t>SteelDeck, Chapter 6: Erection of deck and job site safety — Section: Deck Damage and Penetrations</t>
        </is>
      </c>
      <c r="F79" s="8" t="n"/>
      <c r="G79" s="8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22.5" customHeight="1" s="18">
      <c r="A80" s="10">
        <f>A79+1</f>
        <v/>
      </c>
      <c r="B80" s="11" t="inlineStr">
        <is>
          <t>Pour Stop</t>
        </is>
      </c>
      <c r="C80" s="11" t="inlineStr">
        <is>
          <t>Steel Deck Edge</t>
        </is>
      </c>
      <c r="D80" s="11" t="inlineStr">
        <is>
          <t>Fastened to the supporting steel, not just the deck, to contain the wet concrete load.</t>
        </is>
      </c>
      <c r="E80" s="12" t="inlineStr">
        <is>
          <t>SteelDeck, Chapter 6: Erection of deck and job site safety — Section: Placing Concrete</t>
        </is>
      </c>
      <c r="F80" s="13" t="n"/>
      <c r="G80" s="13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22.5" customHeight="1" s="18">
      <c r="A81" s="5">
        <f>A80+1</f>
        <v/>
      </c>
      <c r="B81" s="6" t="inlineStr">
        <is>
          <t>Joist Girder (Bottom Chord)</t>
        </is>
      </c>
      <c r="C81" s="6" t="inlineStr">
        <is>
          <t>Stabilizer Plate</t>
        </is>
      </c>
      <c r="D81" s="6" t="inlineStr">
        <is>
          <t>Bottom chord "sits" in the stabilizer plate (strut) to prevent rotation.</t>
        </is>
      </c>
      <c r="E81" s="7" t="inlineStr">
        <is>
          <t>OSHA, Subpart R: Steel Erection — Section: 1926.757(a)(1) — Column anchorage and stabilizer plates</t>
        </is>
      </c>
      <c r="F81" s="8" t="n"/>
      <c r="G81" s="8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22.5" customHeight="1" s="18">
      <c r="A82" s="10">
        <f>A81+1</f>
        <v/>
      </c>
      <c r="B82" s="11" t="inlineStr">
        <is>
          <t>Opening in Deck (&gt;10 in)</t>
        </is>
      </c>
      <c r="C82" s="11" t="inlineStr">
        <is>
          <t>Deck Surface</t>
        </is>
      </c>
      <c r="D82" s="11" t="inlineStr">
        <is>
          <t>Requires reinforcing plate or channel framing. Cannot just cut hole.</t>
        </is>
      </c>
      <c r="E82" s="12" t="inlineStr">
        <is>
          <t>SteelDeck, Chapter 6: Erection of deck and job site safety — Section: Deck Damage and Penetrations</t>
        </is>
      </c>
      <c r="F82" s="13" t="n"/>
      <c r="G82" s="13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22.5" customHeight="1" s="18">
      <c r="A83" s="5">
        <f>A82+1</f>
        <v/>
      </c>
      <c r="B83" s="6" t="inlineStr">
        <is>
          <t>Steel Column</t>
        </is>
      </c>
      <c r="C83" s="6" t="inlineStr">
        <is>
          <t>Anchor Bolts</t>
        </is>
      </c>
      <c r="D83" s="6" t="inlineStr">
        <is>
          <t>Minimum 4 bolts required per column (OSHA).</t>
        </is>
      </c>
      <c r="E83" s="7" t="inlineStr">
        <is>
          <t>OSHA, Subpart R: Steel Erection — Section: 1926.755(a)(1) — Column anchorage</t>
        </is>
      </c>
      <c r="F83" s="8" t="n"/>
      <c r="G83" s="8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22.5" customHeight="1" s="18">
      <c r="A84" s="10">
        <f>A83+1</f>
        <v/>
      </c>
      <c r="B84" s="11" t="inlineStr">
        <is>
          <t>Girt</t>
        </is>
      </c>
      <c r="C84" s="11" t="inlineStr">
        <is>
          <t>Column Clip</t>
        </is>
      </c>
      <c r="D84" s="11" t="inlineStr">
        <is>
          <t>"Sits" on the clip; allows for vertical deflection of the frame (slotted holes) while resisting wind.</t>
        </is>
      </c>
      <c r="E84" s="12" t="inlineStr">
        <is>
          <t>UNVERIFIED — no confident source found in the available book list</t>
        </is>
      </c>
      <c r="F84" s="13" t="n"/>
      <c r="G84" s="13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22.5" customHeight="1" s="18">
      <c r="A85" s="5">
        <f>A84+1</f>
        <v/>
      </c>
      <c r="B85" s="6" t="inlineStr">
        <is>
          <t>Brick Veneer</t>
        </is>
      </c>
      <c r="C85" s="6" t="inlineStr">
        <is>
          <t>Foundation Ledge (Brick Shelf)</t>
        </is>
      </c>
      <c r="D85" s="6" t="inlineStr">
        <is>
          <t>1 inch air gap between brick and wood sheathing</t>
        </is>
      </c>
      <c r="E85" s="7" t="inlineStr">
        <is>
          <t>IRC, Chapter 7: Wall Covering — Section: R703.8.4 — Air space</t>
        </is>
      </c>
      <c r="F85" s="8" t="n"/>
      <c r="G85" s="8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22.5" customHeight="1" s="18">
      <c r="A86" s="10">
        <f>A85+1</f>
        <v/>
      </c>
      <c r="B86" s="11" t="inlineStr">
        <is>
          <t>Glass Block</t>
        </is>
      </c>
      <c r="C86" s="11" t="inlineStr">
        <is>
          <t>Mortar Bed</t>
        </is>
      </c>
      <c r="D86" s="11" t="inlineStr">
        <is>
          <t>Non-load bearing</t>
        </is>
      </c>
      <c r="E86" s="12" t="inlineStr">
        <is>
          <t>IBC, Chapter 21: Masonry — Section: 2110 — Glass Unit Masonry</t>
        </is>
      </c>
      <c r="F86" s="13" t="n"/>
      <c r="G86" s="13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22.5" customHeight="1" s="18">
      <c r="A87" s="5">
        <f>A86+1</f>
        <v/>
      </c>
      <c r="B87" s="6" t="inlineStr">
        <is>
          <t>Rebar (Bottom Mat)</t>
        </is>
      </c>
      <c r="C87" s="6" t="inlineStr">
        <is>
          <t>Formwork / Earth</t>
        </is>
      </c>
      <c r="D87" s="6" t="inlineStr">
        <is>
          <t>3 inches cover (if against earth). 1½ - 2 inches (if in form)</t>
        </is>
      </c>
      <c r="E87" s="7" t="inlineStr">
        <is>
          <t>IBC, Chapter 19: Concrete — Section: 1808.8.2 — Concrete cover (referencing ACI 318-14 §20.6)</t>
        </is>
      </c>
      <c r="F87" s="8" t="n"/>
      <c r="G87" s="8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22.5" customHeight="1" s="18">
      <c r="A88" s="10">
        <f>A87+1</f>
        <v/>
      </c>
      <c r="B88" s="11" t="inlineStr">
        <is>
          <t>Vapor Retarder</t>
        </is>
      </c>
      <c r="C88" s="11" t="inlineStr">
        <is>
          <t>Granular Fill</t>
        </is>
      </c>
      <c r="D88" s="11" t="inlineStr">
        <is>
          <t>Laps 6 inches minimum</t>
        </is>
      </c>
      <c r="E88" s="12" t="inlineStr">
        <is>
          <t>Concrete, Chapter 8: Joints and Reinforcement for Slabs-on-Ground — Section: Vapor Retarders; IRC, Chapter 5: Floors — Section: R506.2.3 — Vapor retarder</t>
        </is>
      </c>
      <c r="F88" s="13" t="n"/>
      <c r="G88" s="13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22.5" customHeight="1" s="18">
      <c r="A89" s="5">
        <f>A88+1</f>
        <v/>
      </c>
      <c r="B89" s="6" t="inlineStr">
        <is>
          <t>Anchor Bolt</t>
        </is>
      </c>
      <c r="C89" s="6" t="inlineStr">
        <is>
          <t>Masonry Bond Beam</t>
        </is>
      </c>
      <c r="D89" s="6" t="inlineStr">
        <is>
          <t>Grout must surround the bolt. Bolt "sits" in the center of the cell, held by a template.</t>
        </is>
      </c>
      <c r="E89" s="7" t="inlineStr">
        <is>
          <t>Masonry, Chapter 11: Anchors, Ties, and Reinforcement — Section: Anchor Bolts</t>
        </is>
      </c>
      <c r="F89" s="8" t="n"/>
      <c r="G89" s="8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22.5" customHeight="1" s="18">
      <c r="A90" s="10">
        <f>A89+1</f>
        <v/>
      </c>
      <c r="B90" s="11" t="inlineStr">
        <is>
          <t>Cleanout Opening</t>
        </is>
      </c>
      <c r="C90" s="11" t="inlineStr">
        <is>
          <t>Masonry Cell (Bottom)</t>
        </is>
      </c>
      <c r="D90" s="11" t="inlineStr">
        <is>
          <t xml:space="preserve">Required for pours &gt; 5 feet high. </t>
        </is>
      </c>
      <c r="E90" s="12" t="inlineStr">
        <is>
          <t>Masonry, Chapter 10: Mortar and Grout — Section: Cleanouts</t>
        </is>
      </c>
      <c r="F90" s="13" t="n"/>
      <c r="G90" s="13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22.5" customHeight="1" s="18">
      <c r="A91" s="5">
        <f>A90+1</f>
        <v/>
      </c>
      <c r="B91" s="6" t="inlineStr">
        <is>
          <t>Construction Joint</t>
        </is>
      </c>
      <c r="C91" s="6" t="inlineStr">
        <is>
          <t>Existing Concrete Slab</t>
        </is>
      </c>
      <c r="D91" s="6" t="inlineStr">
        <is>
          <t>Shear Key or dowels required. New concrete "sits" against old, but load transfer needs mechanical lock.</t>
        </is>
      </c>
      <c r="E91" s="7" t="inlineStr">
        <is>
          <t>Concrete, Chapter 8: Joints and Reinforcement for Slabs-on-Ground — Section: Construction Joints</t>
        </is>
      </c>
      <c r="F91" s="8" t="n"/>
      <c r="G91" s="8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22.5" customHeight="1" s="18">
      <c r="A92" s="10">
        <f>A91+1</f>
        <v/>
      </c>
      <c r="B92" s="11" t="inlineStr">
        <is>
          <t>Formwork Snap Tie</t>
        </is>
      </c>
      <c r="C92" s="11" t="inlineStr">
        <is>
          <t>Form Face</t>
        </is>
      </c>
      <c r="D92" s="11" t="inlineStr">
        <is>
          <t>Uses a wedge or cone to spread the load against the waler/strongback.</t>
        </is>
      </c>
      <c r="E92" s="12" t="inlineStr">
        <is>
          <t>Concrete, Chapter 5: Formwork — Section: Form Ties</t>
        </is>
      </c>
      <c r="F92" s="13" t="n"/>
      <c r="G92" s="13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22.5" customHeight="1" s="18">
      <c r="A93" s="5">
        <f>A92+1</f>
        <v/>
      </c>
      <c r="B93" s="6" t="inlineStr">
        <is>
          <t>Lintel Bearing</t>
        </is>
      </c>
      <c r="C93" s="6" t="inlineStr">
        <is>
          <t>Hollow CMU</t>
        </is>
      </c>
      <c r="D93" s="6" t="inlineStr">
        <is>
          <t>The cell under the bearing point must be filled solid (grouted) to transfer the point load.</t>
        </is>
      </c>
      <c r="E93" s="7" t="inlineStr">
        <is>
          <t>Masonry, Chapter 10: Mortar and Grout — Section: Grouting of Lintel Bearing Cells</t>
        </is>
      </c>
      <c r="F93" s="8" t="n"/>
      <c r="G93" s="8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22.5" customHeight="1" s="18">
      <c r="A94" s="10">
        <f>A93+1</f>
        <v/>
      </c>
      <c r="B94" s="11" t="inlineStr">
        <is>
          <t>Weep Hole</t>
        </is>
      </c>
      <c r="C94" s="11" t="inlineStr">
        <is>
          <t>Flashing (Brick Ledge)</t>
        </is>
      </c>
      <c r="D94" s="11" t="inlineStr">
        <is>
          <t>Placed immediately above the flashing/bearing ledge. Max spacing 33 inches O.C.</t>
        </is>
      </c>
      <c r="E94" s="12" t="inlineStr">
        <is>
          <t>IRC, Chapter 7: Wall Covering — Section: R703.8.6 — Weepholes</t>
        </is>
      </c>
      <c r="F94" s="13" t="n"/>
      <c r="G94" s="13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22.5" customHeight="1" s="18">
      <c r="A95" s="5">
        <f>A94+1</f>
        <v/>
      </c>
      <c r="B95" s="6" t="inlineStr">
        <is>
          <t>Chimney Cricket</t>
        </is>
      </c>
      <c r="C95" s="6" t="inlineStr">
        <is>
          <t>Roof Deck</t>
        </is>
      </c>
      <c r="D95" s="6" t="inlineStr">
        <is>
          <t>"Sits" on the high side of the chimney (if chimney width &gt; 30 inches) to divert water.</t>
        </is>
      </c>
      <c r="E95" s="7" t="inlineStr">
        <is>
          <t>IRC, Chapter 9: Roof Assemblies — Section: R903.2.2 — Crickets and saddles</t>
        </is>
      </c>
      <c r="F95" s="8" t="n"/>
      <c r="G95" s="8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22.5" customHeight="1" s="18">
      <c r="A96" s="10">
        <f>A95+1</f>
        <v/>
      </c>
      <c r="B96" s="11" t="inlineStr">
        <is>
          <t>Isolation Joint</t>
        </is>
      </c>
      <c r="C96" s="11" t="inlineStr">
        <is>
          <t>Column/Wall Interface</t>
        </is>
      </c>
      <c r="D96" s="11" t="inlineStr">
        <is>
          <t>"Sits" between slab and column. Full depth felt/fiber strip to allow differential movement.</t>
        </is>
      </c>
      <c r="E96" s="12" t="inlineStr">
        <is>
          <t>Concrete, Chapter 8: Joints and Reinforcement for Slabs-on-Ground — Section: Isolation Joints</t>
        </is>
      </c>
      <c r="F96" s="13" t="n"/>
      <c r="G96" s="13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22.5" customHeight="1" s="18">
      <c r="A97" s="5">
        <f>A96+1</f>
        <v/>
      </c>
      <c r="B97" s="6" t="inlineStr">
        <is>
          <t>Resilient Channel</t>
        </is>
      </c>
      <c r="C97" s="6" t="inlineStr">
        <is>
          <t>Wood Stud</t>
        </is>
      </c>
      <c r="D97" s="6" t="inlineStr">
        <is>
          <t>Channel flange "sits" on stud. Drywall screw must NOT penetrate the stud (short circuits soundproofing).</t>
        </is>
      </c>
      <c r="E97" s="7" t="inlineStr">
        <is>
          <t>Gypsum, Chapter 3: Cladding — Section: Resilient Board Application</t>
        </is>
      </c>
      <c r="F97" s="8" t="n"/>
      <c r="G97" s="8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22.5" customHeight="1" s="18">
      <c r="A98" s="10">
        <f>A97+1</f>
        <v/>
      </c>
      <c r="B98" s="11" t="inlineStr">
        <is>
          <t>Corner Bead</t>
        </is>
      </c>
      <c r="C98" s="11" t="inlineStr">
        <is>
          <t>Drywall Corner</t>
        </is>
      </c>
      <c r="D98" s="11" t="inlineStr">
        <is>
          <t>NAILED or CRIMPED to the bead, but mud "sits" over it. Must be fastened every 9 inches typically.</t>
        </is>
      </c>
      <c r="E98" s="12" t="inlineStr">
        <is>
          <t>Gypsum, Chapter 5: Finishing Drywall Systems — Section: Corner Bead Application</t>
        </is>
      </c>
      <c r="F98" s="13" t="n"/>
      <c r="G98" s="13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22.5" customHeight="1" s="18">
      <c r="A99" s="5">
        <f>A98+1</f>
        <v/>
      </c>
      <c r="B99" s="6" t="inlineStr">
        <is>
          <t>Control Joint (Drywall)</t>
        </is>
      </c>
      <c r="C99" s="6" t="inlineStr">
        <is>
          <t>Wall Surface</t>
        </is>
      </c>
      <c r="D99" s="6" t="inlineStr">
        <is>
          <t>Installed max every 30 feet. Breaks the continuity of the board.</t>
        </is>
      </c>
      <c r="E99" s="7" t="inlineStr">
        <is>
          <t>Gypsum, Chapter 5: Finishing Drywall Systems — Section: Control Joint Application</t>
        </is>
      </c>
      <c r="F99" s="8" t="n"/>
      <c r="G99" s="8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22.5" customHeight="1" s="18">
      <c r="A100" s="10">
        <f>A99+1</f>
        <v/>
      </c>
      <c r="B100" s="11" t="inlineStr">
        <is>
          <t>Ladder Feet</t>
        </is>
      </c>
      <c r="C100" s="11" t="inlineStr">
        <is>
          <t>Ground / Floor</t>
        </is>
      </c>
      <c r="D100" s="11" t="inlineStr">
        <is>
          <t>1/4 ratio. The base must be out 1 foot for every 4 feet of height. Feet must bear on level surface.</t>
        </is>
      </c>
      <c r="E100" s="12" t="inlineStr">
        <is>
          <t>OSHA, Subpart X: Stairways and Ladders — Section: 1926.1053(b)(5)(i)</t>
        </is>
      </c>
      <c r="F100" s="13" t="n"/>
      <c r="G100" s="13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22.5" customHeight="1" s="18">
      <c r="A101" s="5">
        <f>A100+1</f>
        <v/>
      </c>
      <c r="B101" s="6" t="inlineStr">
        <is>
          <t>Trench Box (Shield)</t>
        </is>
      </c>
      <c r="C101" s="6" t="inlineStr">
        <is>
          <t>Trench Bottom</t>
        </is>
      </c>
      <c r="D101" s="6" t="inlineStr">
        <is>
          <t>Can sit 2 feet off the bottom max (to allow pipe work), provided no soil loss behind it.</t>
        </is>
      </c>
      <c r="E101" s="7" t="inlineStr">
        <is>
          <t>OSHA, Subpart P: Excavations — Section: 1926.652 — Requirements for protective systems</t>
        </is>
      </c>
      <c r="F101" s="8" t="n"/>
      <c r="G101" s="8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22.5" customHeight="1" s="18">
      <c r="A102" s="10">
        <f>A101+1</f>
        <v/>
      </c>
      <c r="B102" s="11" t="inlineStr">
        <is>
          <t>Excavator Tracks</t>
        </is>
      </c>
      <c r="C102" s="11" t="inlineStr">
        <is>
          <t>Trench Edge</t>
        </is>
      </c>
      <c r="D102" s="11" t="inlineStr">
        <is>
          <t>Keep back! Surcharge load formula usually requires keeping heavy equipment back at least the depth of the trench.</t>
        </is>
      </c>
      <c r="E102" s="12" t="inlineStr">
        <is>
          <t>OSHA, Subpart P: Excavations — Section: 1926.651(i) — Loose rock or soil (surcharge)</t>
        </is>
      </c>
      <c r="F102" s="13" t="n"/>
      <c r="G102" s="13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22.5" customHeight="1" s="18">
      <c r="A103" s="5">
        <f>A102+1</f>
        <v/>
      </c>
      <c r="B103" s="6" t="inlineStr">
        <is>
          <t>Manhole Section</t>
        </is>
      </c>
      <c r="C103" s="6" t="inlineStr">
        <is>
          <t>Base Section</t>
        </is>
      </c>
      <c r="D103" s="6" t="inlineStr">
        <is>
          <t>O-Ring Gasket or mastic sealant sits in the groove to seal the joint.</t>
        </is>
      </c>
      <c r="E103" s="7" t="inlineStr">
        <is>
          <t>Pipe&amp;Excavation, Chapter 8: Installing Sewer &amp; Stormwater Systems — Section: Manhole Construction</t>
        </is>
      </c>
      <c r="F103" s="8" t="n"/>
      <c r="G103" s="8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22.5" customHeight="1" s="18">
      <c r="A104" s="10">
        <f>A103+1</f>
        <v/>
      </c>
      <c r="B104" s="11" t="inlineStr">
        <is>
          <t>Batter Board</t>
        </is>
      </c>
      <c r="C104" s="11" t="inlineStr">
        <is>
          <t>Stake</t>
        </is>
      </c>
      <c r="D104" s="11" t="inlineStr">
        <is>
          <t>Used to hold string lines (layout) outside the excavation footprint.</t>
        </is>
      </c>
      <c r="E104" s="12" t="inlineStr">
        <is>
          <t>Pipe&amp;Excavation, Chapter 3: Reading Plans &amp; Surveying — Section: Batter Boards and Layout</t>
        </is>
      </c>
      <c r="F104" s="13" t="n"/>
      <c r="G104" s="13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22.5" customHeight="1" s="18">
      <c r="A105" s="5">
        <f>A104+1</f>
        <v/>
      </c>
      <c r="B105" s="6" t="inlineStr">
        <is>
          <t>Rip Rap</t>
        </is>
      </c>
      <c r="C105" s="6" t="inlineStr">
        <is>
          <t>Culvert Outlet</t>
        </is>
      </c>
      <c r="D105" s="6" t="inlineStr">
        <is>
          <t>Sits on Geotextile Fabric (filter cloth) to prevent soil erosion under the stones.</t>
        </is>
      </c>
      <c r="E105" s="7" t="inlineStr">
        <is>
          <t>Pipe&amp;Excavation, Chapter 10: Dealing with Rock &amp; Groundwater — Section: Erosion Control (Rip Rap)</t>
        </is>
      </c>
      <c r="F105" s="8" t="n"/>
      <c r="G105" s="8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22.5" customHeight="1" s="18">
      <c r="A106" s="10">
        <f>A105+1</f>
        <v/>
      </c>
      <c r="B106" s="11" t="inlineStr">
        <is>
          <t>Silt Fence</t>
        </is>
      </c>
      <c r="C106" s="11" t="inlineStr">
        <is>
          <t>Grade</t>
        </is>
      </c>
      <c r="D106" s="11" t="inlineStr">
        <is>
          <t>Bottom 6 inches must be buried (trenched in) so water doesn't flow under it.</t>
        </is>
      </c>
      <c r="E106" s="12" t="inlineStr">
        <is>
          <t>Pipe&amp;Excavation, Chapter 9: Estimating Surface Excavation — Section: Erosion Control (Silt Fence)</t>
        </is>
      </c>
      <c r="F106" s="13" t="n"/>
      <c r="G106" s="13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22.5" customHeight="1" s="18">
      <c r="A107" s="5">
        <f>A106+1</f>
        <v/>
      </c>
      <c r="B107" s="6" t="inlineStr">
        <is>
          <t>Guardrail Post</t>
        </is>
      </c>
      <c r="C107" s="6" t="inlineStr">
        <is>
          <t>Deck / Floor Edge</t>
        </is>
      </c>
      <c r="D107" s="6" t="inlineStr">
        <is>
          <t>Must withstand 200 lbs outward force. Cannot just sit on surface; needs leverage/blocking.</t>
        </is>
      </c>
      <c r="E107" s="7" t="inlineStr">
        <is>
          <t>OSHA, Subpart M: Fall Protection — Section: 1926.502(b) — Guardrail systems</t>
        </is>
      </c>
      <c r="F107" s="8" t="n"/>
      <c r="G107" s="8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22.5" customHeight="1" s="18">
      <c r="A108" s="10">
        <f>A107+1</f>
        <v/>
      </c>
      <c r="B108" s="11" t="inlineStr">
        <is>
          <t>Safety Net</t>
        </is>
      </c>
      <c r="C108" s="11" t="inlineStr">
        <is>
          <t>Below Work Area</t>
        </is>
      </c>
      <c r="D108" s="11" t="inlineStr">
        <is>
          <t>Max 30 feet below the working surface.</t>
        </is>
      </c>
      <c r="E108" s="12" t="inlineStr">
        <is>
          <t>OSHA, Subpart M: Fall Protection — Section: 1926.502(c) — Safety net systems</t>
        </is>
      </c>
      <c r="F108" s="13" t="n"/>
      <c r="G108" s="13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</hyperlinks>
  <pageMargins left="0.75" right="0.75" top="1" bottom="1" header="0.5" footer="0.5"/>
  <tableParts count="1">
    <tablePart xmlns:r="http://schemas.openxmlformats.org/officeDocument/2006/relationships" r:id="rId7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2026-09-05T19:23:28Z</dcterms:created>
  <dcterms:modified xmlns:dcterms="http://purl.org/dc/terms/" xmlns:xsi="http://www.w3.org/2001/XMLSchema-instance" xsi:type="dcterms:W3CDTF">2026-09-05T19:23:29Z</dcterms:modified>
</cp:coreProperties>
</file>